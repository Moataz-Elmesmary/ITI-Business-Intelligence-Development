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Functions Files\"/>
    </mc:Choice>
  </mc:AlternateContent>
  <xr:revisionPtr revIDLastSave="0" documentId="13_ncr:1_{DE194D02-A77A-4915-8457-563ACEDCD0AA}" xr6:coauthVersionLast="36" xr6:coauthVersionMax="44" xr10:uidLastSave="{00000000-0000-0000-0000-000000000000}"/>
  <bookViews>
    <workbookView xWindow="-120" yWindow="-120" windowWidth="29040" windowHeight="15840" tabRatio="828" activeTab="10" xr2:uid="{00000000-000D-0000-FFFF-FFFF00000000}"/>
  </bookViews>
  <sheets>
    <sheet name="if" sheetId="16" r:id="rId1"/>
    <sheet name="if-1" sheetId="8" r:id="rId2"/>
    <sheet name="if-2" sheetId="9" r:id="rId3"/>
    <sheet name="Simple 3-Not Equal" sheetId="10" r:id="rId4"/>
    <sheet name="Nested If 1" sheetId="2" r:id="rId5"/>
    <sheet name="IFS" sheetId="20" r:id="rId6"/>
    <sheet name="IF Error" sheetId="17" r:id="rId7"/>
    <sheet name="SUM IF" sheetId="18" r:id="rId8"/>
    <sheet name="COUNT IF" sheetId="19" r:id="rId9"/>
    <sheet name="Sheet1" sheetId="21" r:id="rId10"/>
    <sheet name="Rank" sheetId="23" r:id="rId11"/>
  </sheets>
  <definedNames>
    <definedName name="Data1" localSheetId="8">#REF!</definedName>
    <definedName name="Data1" localSheetId="6">#REF!</definedName>
    <definedName name="Data1" localSheetId="7">#REF!</definedName>
    <definedName name="Data1">#REF!</definedName>
    <definedName name="Data2" localSheetId="8">#REF!</definedName>
    <definedName name="Data2" localSheetId="6">#REF!</definedName>
    <definedName name="Data2" localSheetId="7">#REF!</definedName>
    <definedName name="Data2">#REF!</definedName>
  </definedNames>
  <calcPr calcId="191029"/>
</workbook>
</file>

<file path=xl/calcChain.xml><?xml version="1.0" encoding="utf-8"?>
<calcChain xmlns="http://schemas.openxmlformats.org/spreadsheetml/2006/main">
  <c r="N4" i="23" l="1"/>
  <c r="N5" i="23"/>
  <c r="N6" i="23"/>
  <c r="N7" i="23"/>
  <c r="N8" i="23"/>
  <c r="N9" i="23"/>
  <c r="N10" i="23"/>
  <c r="N11" i="23"/>
  <c r="N3" i="23"/>
  <c r="H6" i="19"/>
  <c r="H3" i="19"/>
  <c r="J16" i="19"/>
  <c r="J15" i="19"/>
  <c r="J14" i="19"/>
  <c r="I8" i="18"/>
  <c r="G4" i="18"/>
  <c r="D3" i="17"/>
  <c r="E3" i="17" s="1"/>
  <c r="D4" i="17"/>
  <c r="E4" i="17" s="1"/>
  <c r="D5" i="17"/>
  <c r="D6" i="17"/>
  <c r="E6" i="17" s="1"/>
  <c r="D7" i="17"/>
  <c r="E7" i="17" s="1"/>
  <c r="D8" i="17"/>
  <c r="E8" i="17" s="1"/>
  <c r="D9" i="17"/>
  <c r="E9" i="17" s="1"/>
  <c r="D10" i="17"/>
  <c r="E10" i="17" s="1"/>
  <c r="E5" i="17"/>
  <c r="I4" i="2"/>
  <c r="I5" i="2"/>
  <c r="I6" i="2"/>
  <c r="I7" i="2"/>
  <c r="I8" i="2"/>
  <c r="I9" i="2"/>
  <c r="I10" i="2"/>
  <c r="I11" i="2"/>
  <c r="I12" i="2"/>
  <c r="I3" i="2"/>
  <c r="D3" i="2"/>
  <c r="D4" i="2"/>
  <c r="D5" i="2"/>
  <c r="D6" i="2"/>
  <c r="D7" i="2"/>
  <c r="D8" i="2"/>
  <c r="D9" i="2"/>
  <c r="D10" i="2"/>
  <c r="D11" i="2"/>
  <c r="D12" i="2"/>
  <c r="D4" i="9"/>
  <c r="D5" i="9"/>
  <c r="D6" i="9"/>
  <c r="D7" i="9"/>
  <c r="D3" i="9"/>
  <c r="E4" i="16"/>
  <c r="E5" i="16"/>
  <c r="E6" i="16"/>
  <c r="E7" i="16"/>
  <c r="E8" i="16"/>
  <c r="E9" i="16"/>
  <c r="E3" i="16"/>
  <c r="D4" i="16"/>
  <c r="D5" i="16"/>
  <c r="D6" i="16"/>
  <c r="D7" i="16"/>
  <c r="D8" i="16"/>
  <c r="D9" i="16"/>
  <c r="D3" i="16"/>
  <c r="G4" i="23" l="1"/>
  <c r="G5" i="23"/>
  <c r="G6" i="23"/>
  <c r="G7" i="23"/>
  <c r="G8" i="23"/>
  <c r="G9" i="23"/>
  <c r="G10" i="23"/>
  <c r="G11" i="23"/>
  <c r="G3" i="23"/>
  <c r="K4" i="23"/>
  <c r="K5" i="23"/>
  <c r="K6" i="23"/>
  <c r="K7" i="23"/>
  <c r="K8" i="23"/>
  <c r="K9" i="23"/>
  <c r="K10" i="23"/>
  <c r="K11" i="23"/>
  <c r="G11" i="21"/>
  <c r="G10" i="21"/>
  <c r="G9" i="21"/>
  <c r="E4" i="10"/>
  <c r="E5" i="10"/>
  <c r="E6" i="10"/>
  <c r="E7" i="10"/>
  <c r="E3" i="10"/>
  <c r="C3" i="9" l="1"/>
  <c r="K3" i="23" l="1"/>
  <c r="K8" i="21"/>
  <c r="H5" i="20" l="1"/>
  <c r="H6" i="20"/>
  <c r="H7" i="20"/>
  <c r="H8" i="20"/>
  <c r="H9" i="20"/>
  <c r="H10" i="20"/>
  <c r="H11" i="20"/>
  <c r="H12" i="20"/>
  <c r="H13" i="20"/>
  <c r="H4" i="20"/>
  <c r="D4" i="8"/>
  <c r="D5" i="8"/>
  <c r="D6" i="8"/>
  <c r="D7" i="8"/>
  <c r="D3" i="8"/>
  <c r="D4" i="10" l="1"/>
  <c r="D5" i="10"/>
  <c r="D6" i="10"/>
  <c r="D7" i="10"/>
  <c r="D3" i="10"/>
  <c r="G13" i="20" l="1"/>
  <c r="G12" i="20"/>
  <c r="G11" i="20"/>
  <c r="G10" i="20"/>
  <c r="G9" i="20"/>
  <c r="G8" i="20"/>
  <c r="G7" i="20"/>
  <c r="G6" i="20"/>
  <c r="G5" i="20"/>
  <c r="G4" i="20"/>
  <c r="B4" i="20" a="1"/>
  <c r="B4" i="20" s="1"/>
  <c r="B3" i="20" a="1"/>
  <c r="B3" i="20" s="1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11" i="18"/>
  <c r="E10" i="18"/>
  <c r="C4" i="9" l="1"/>
  <c r="C5" i="9"/>
  <c r="C6" i="9"/>
  <c r="C7" i="9"/>
  <c r="C7" i="8" l="1"/>
  <c r="C6" i="8"/>
  <c r="C5" i="8"/>
  <c r="C4" i="8"/>
  <c r="C3" i="8"/>
</calcChain>
</file>

<file path=xl/sharedStrings.xml><?xml version="1.0" encoding="utf-8"?>
<sst xmlns="http://schemas.openxmlformats.org/spreadsheetml/2006/main" count="168" uniqueCount="99">
  <si>
    <t>Name</t>
  </si>
  <si>
    <t>Score</t>
  </si>
  <si>
    <t>Result</t>
  </si>
  <si>
    <t>Grade</t>
  </si>
  <si>
    <t>USA</t>
  </si>
  <si>
    <t>UK</t>
  </si>
  <si>
    <t>Start</t>
  </si>
  <si>
    <t>End</t>
  </si>
  <si>
    <t>Progress</t>
  </si>
  <si>
    <t>Not Equal</t>
  </si>
  <si>
    <t>Condition</t>
  </si>
  <si>
    <t>IF</t>
  </si>
  <si>
    <t>&gt;500</t>
  </si>
  <si>
    <t>IF-2</t>
  </si>
  <si>
    <t>Good</t>
  </si>
  <si>
    <t>Bad</t>
  </si>
  <si>
    <t>Nested IF_1</t>
  </si>
  <si>
    <t>PN</t>
  </si>
  <si>
    <t>TV</t>
  </si>
  <si>
    <t>Sports</t>
  </si>
  <si>
    <t>Accessories</t>
  </si>
  <si>
    <t>Laptop</t>
  </si>
  <si>
    <t>PS5</t>
  </si>
  <si>
    <t>Price</t>
  </si>
  <si>
    <t>Region</t>
  </si>
  <si>
    <t>A</t>
  </si>
  <si>
    <t>B</t>
  </si>
  <si>
    <t>c</t>
  </si>
  <si>
    <t>d</t>
  </si>
  <si>
    <t>f</t>
  </si>
  <si>
    <t>Excellent</t>
  </si>
  <si>
    <t>Ahmed</t>
  </si>
  <si>
    <t>Eyad</t>
  </si>
  <si>
    <t>ali</t>
  </si>
  <si>
    <t>mahmoud</t>
  </si>
  <si>
    <t>mohamed</t>
  </si>
  <si>
    <t>sayed</t>
  </si>
  <si>
    <t>saleh</t>
  </si>
  <si>
    <t>saber</t>
  </si>
  <si>
    <t>attia</t>
  </si>
  <si>
    <t>ehab</t>
  </si>
  <si>
    <t>IF Error</t>
  </si>
  <si>
    <t>Product</t>
  </si>
  <si>
    <t>Total</t>
  </si>
  <si>
    <t>Q</t>
  </si>
  <si>
    <t>price</t>
  </si>
  <si>
    <t>Apple</t>
  </si>
  <si>
    <t>LED</t>
  </si>
  <si>
    <t>watch</t>
  </si>
  <si>
    <t>Tables</t>
  </si>
  <si>
    <t>headphones</t>
  </si>
  <si>
    <t>mouse</t>
  </si>
  <si>
    <t>laptop</t>
  </si>
  <si>
    <t>mobile</t>
  </si>
  <si>
    <t>SUM IF</t>
  </si>
  <si>
    <t>Number</t>
  </si>
  <si>
    <t>Text Criteria</t>
  </si>
  <si>
    <t>sumif</t>
  </si>
  <si>
    <t xml:space="preserve">sum if  </t>
  </si>
  <si>
    <t>sum if</t>
  </si>
  <si>
    <t>اجهزة</t>
  </si>
  <si>
    <t>أجهزة</t>
  </si>
  <si>
    <t>COUNT IF</t>
  </si>
  <si>
    <t>number</t>
  </si>
  <si>
    <t>text</t>
  </si>
  <si>
    <t>concatenate</t>
  </si>
  <si>
    <t>X</t>
  </si>
  <si>
    <t>شاشات</t>
  </si>
  <si>
    <t>الكترونيات</t>
  </si>
  <si>
    <t>سماعات</t>
  </si>
  <si>
    <t>منتجات ابل</t>
  </si>
  <si>
    <t>لاب توب</t>
  </si>
  <si>
    <t>IFS</t>
  </si>
  <si>
    <t>IF-1</t>
  </si>
  <si>
    <t>e</t>
  </si>
  <si>
    <t>g</t>
  </si>
  <si>
    <t>V.Good</t>
  </si>
  <si>
    <t>Not Valid</t>
  </si>
  <si>
    <t>b</t>
  </si>
  <si>
    <t>count</t>
  </si>
  <si>
    <t>countA</t>
  </si>
  <si>
    <t>Count Blank</t>
  </si>
  <si>
    <t>Rank</t>
  </si>
  <si>
    <t>تنازلى</t>
  </si>
  <si>
    <t>تصاعدى</t>
  </si>
  <si>
    <t>ahmed</t>
  </si>
  <si>
    <t>omr</t>
  </si>
  <si>
    <t>ifs</t>
  </si>
  <si>
    <t>if(if(if(if</t>
  </si>
  <si>
    <t>led</t>
  </si>
  <si>
    <t>Gen</t>
  </si>
  <si>
    <t>اجمع أسعار المنتجات من نوع Led بشرط تكون من الجيل الأول</t>
  </si>
  <si>
    <t>sumifs</t>
  </si>
  <si>
    <t>a5</t>
  </si>
  <si>
    <t>6a</t>
  </si>
  <si>
    <t>counta</t>
  </si>
  <si>
    <t>countblanck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</si>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</sst>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FF0000"/>
      <name val="Segoe UI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FF0000"/>
      <name val="Segoe UI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9" fillId="5" borderId="0" xfId="0" applyFont="1" applyFill="1"/>
    <xf numFmtId="14" fontId="9" fillId="0" borderId="0" xfId="0" applyNumberFormat="1" applyFont="1"/>
    <xf numFmtId="18" fontId="9" fillId="0" borderId="0" xfId="0" applyNumberFormat="1" applyFo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8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 readingOrder="1"/>
    </xf>
    <xf numFmtId="0" fontId="4" fillId="13" borderId="1" xfId="0" applyFont="1" applyFill="1" applyBorder="1" applyAlignment="1">
      <alignment horizontal="center" vertical="center"/>
    </xf>
    <xf numFmtId="14" fontId="4" fillId="9" borderId="0" xfId="0" applyNumberFormat="1" applyFont="1" applyFill="1" applyAlignment="1">
      <alignment horizontal="center" vertical="center"/>
    </xf>
    <xf numFmtId="18" fontId="4" fillId="9" borderId="0" xfId="0" applyNumberFormat="1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389060</xdr:colOff>
      <xdr:row>0</xdr:row>
      <xdr:rowOff>79864</xdr:rowOff>
    </xdr:from>
    <xdr:ext cx="4031425" cy="59330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6A9904-E6A0-40A7-916C-750129DBB48D}"/>
            </a:ext>
          </a:extLst>
        </xdr:cNvPr>
        <xdr:cNvSpPr txBox="1"/>
      </xdr:nvSpPr>
      <xdr:spPr>
        <a:xfrm>
          <a:off x="3429733" y="79864"/>
          <a:ext cx="4031425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>
              <a:solidFill>
                <a:srgbClr val="FF0000"/>
              </a:solidFill>
            </a:rPr>
            <a:t>=IF(B3&gt;=80,"yes","no")</a:t>
          </a:r>
        </a:p>
      </xdr:txBody>
    </xdr:sp>
    <xdr:clientData/>
  </xdr:oneCellAnchor>
  <xdr:twoCellAnchor>
    <xdr:from>
      <xdr:col>2</xdr:col>
      <xdr:colOff>285750</xdr:colOff>
      <xdr:row>1</xdr:row>
      <xdr:rowOff>171450</xdr:rowOff>
    </xdr:from>
    <xdr:to>
      <xdr:col>2</xdr:col>
      <xdr:colOff>304800</xdr:colOff>
      <xdr:row>11</xdr:row>
      <xdr:rowOff>9525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9E3CDB8-C49A-41C7-AE46-3CEFDE687092}"/>
            </a:ext>
          </a:extLst>
        </xdr:cNvPr>
        <xdr:cNvCxnSpPr/>
      </xdr:nvCxnSpPr>
      <xdr:spPr>
        <a:xfrm>
          <a:off x="1504950" y="438150"/>
          <a:ext cx="19050" cy="23526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1095375</xdr:colOff>
      <xdr:row>0</xdr:row>
      <xdr:rowOff>209549</xdr:rowOff>
    </xdr:from>
    <xdr:ext cx="3842210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BD06C5-DED2-46DF-9F4E-7A8937D2E76F}"/>
            </a:ext>
          </a:extLst>
        </xdr:cNvPr>
        <xdr:cNvSpPr txBox="1"/>
      </xdr:nvSpPr>
      <xdr:spPr>
        <a:xfrm>
          <a:off x="6829425" y="209549"/>
          <a:ext cx="38422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 rtl="1"/>
          <a:r>
            <a:rPr lang="en-US" sz="2800">
              <a:solidFill>
                <a:srgbClr val="002060"/>
              </a:solidFill>
            </a:rPr>
            <a:t>=IF(B2="USA",1,0)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372716</xdr:colOff>
      <xdr:row>0</xdr:row>
      <xdr:rowOff>74543</xdr:rowOff>
    </xdr:from>
    <xdr:ext cx="2755050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50689F-4B61-4156-BAD0-EEFA009775F0}"/>
            </a:ext>
          </a:extLst>
        </xdr:cNvPr>
        <xdr:cNvSpPr txBox="1"/>
      </xdr:nvSpPr>
      <xdr:spPr>
        <a:xfrm>
          <a:off x="5814390" y="74543"/>
          <a:ext cx="275505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>
              <a:solidFill>
                <a:srgbClr val="FF0000"/>
              </a:solidFill>
            </a:rPr>
            <a:t>=IF(C3&lt;&gt;"",C3-B3,"")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3DBC-7897-4282-BCCC-B0C1384818A5}">
  <dimension ref="A1:E10"/>
  <sheetViews>
    <sheetView zoomScale="145" zoomScaleNormal="145" workbookViewId="0">
      <selection activeCell="B3" sqref="B3"/>
    </sheetView>
  </sheetViews>
  <sheetFormatPr defaultRowHeight="15" x14ac:dyDescent="0.25"/>
  <cols>
    <col min="1" max="16384" width="9.140625" style="8"/>
  </cols>
  <sheetData>
    <row r="1" spans="1:5" ht="21" x14ac:dyDescent="0.25">
      <c r="B1" s="50" t="s">
        <v>11</v>
      </c>
      <c r="C1" s="50"/>
      <c r="D1" s="50"/>
    </row>
    <row r="2" spans="1:5" x14ac:dyDescent="0.25">
      <c r="A2" s="8" t="s">
        <v>0</v>
      </c>
      <c r="B2" s="8" t="s">
        <v>3</v>
      </c>
    </row>
    <row r="3" spans="1:5" ht="21" x14ac:dyDescent="0.25">
      <c r="A3" s="19" t="s">
        <v>25</v>
      </c>
      <c r="B3" s="19">
        <v>79</v>
      </c>
      <c r="C3" s="19"/>
      <c r="D3" s="19" t="str">
        <f>IF(B3&gt;=80,"yes","NO")</f>
        <v>NO</v>
      </c>
      <c r="E3" s="8">
        <f>IF(B3&gt;=80,B3+10,B3-10)</f>
        <v>69</v>
      </c>
    </row>
    <row r="4" spans="1:5" ht="21" x14ac:dyDescent="0.25">
      <c r="A4" s="19" t="s">
        <v>26</v>
      </c>
      <c r="B4" s="19">
        <v>79.989999999999995</v>
      </c>
      <c r="C4" s="19"/>
      <c r="D4" s="19" t="str">
        <f t="shared" ref="D4:D9" si="0">IF(B4&gt;=80,"yes","NO")</f>
        <v>NO</v>
      </c>
      <c r="E4" s="8">
        <f t="shared" ref="E4:E9" si="1">IF(B4&gt;=80,B4+10,B4-10)</f>
        <v>69.989999999999995</v>
      </c>
    </row>
    <row r="5" spans="1:5" ht="21" x14ac:dyDescent="0.25">
      <c r="A5" s="19" t="s">
        <v>27</v>
      </c>
      <c r="B5" s="19">
        <v>70</v>
      </c>
      <c r="C5" s="19"/>
      <c r="D5" s="19" t="str">
        <f t="shared" si="0"/>
        <v>NO</v>
      </c>
      <c r="E5" s="8">
        <f t="shared" si="1"/>
        <v>60</v>
      </c>
    </row>
    <row r="6" spans="1:5" ht="21" x14ac:dyDescent="0.25">
      <c r="A6" s="19" t="s">
        <v>28</v>
      </c>
      <c r="B6" s="19">
        <v>80</v>
      </c>
      <c r="C6" s="19"/>
      <c r="D6" s="19" t="str">
        <f t="shared" si="0"/>
        <v>yes</v>
      </c>
      <c r="E6" s="8">
        <f t="shared" si="1"/>
        <v>90</v>
      </c>
    </row>
    <row r="7" spans="1:5" ht="21" x14ac:dyDescent="0.25">
      <c r="A7" s="19" t="s">
        <v>74</v>
      </c>
      <c r="B7" s="19">
        <v>80</v>
      </c>
      <c r="C7" s="19"/>
      <c r="D7" s="19" t="str">
        <f t="shared" si="0"/>
        <v>yes</v>
      </c>
      <c r="E7" s="8">
        <f t="shared" si="1"/>
        <v>90</v>
      </c>
    </row>
    <row r="8" spans="1:5" ht="21" x14ac:dyDescent="0.25">
      <c r="A8" s="19" t="s">
        <v>29</v>
      </c>
      <c r="B8" s="19">
        <v>81</v>
      </c>
      <c r="C8" s="19"/>
      <c r="D8" s="19" t="str">
        <f t="shared" si="0"/>
        <v>yes</v>
      </c>
      <c r="E8" s="8">
        <f t="shared" si="1"/>
        <v>91</v>
      </c>
    </row>
    <row r="9" spans="1:5" ht="21" x14ac:dyDescent="0.25">
      <c r="A9" s="19" t="s">
        <v>75</v>
      </c>
      <c r="B9" s="19">
        <v>40</v>
      </c>
      <c r="C9" s="19"/>
      <c r="D9" s="19" t="str">
        <f t="shared" si="0"/>
        <v>NO</v>
      </c>
      <c r="E9" s="8">
        <f t="shared" si="1"/>
        <v>30</v>
      </c>
    </row>
    <row r="10" spans="1:5" ht="21" x14ac:dyDescent="0.25">
      <c r="A10" s="19"/>
    </row>
  </sheetData>
  <mergeCells count="1">
    <mergeCell ref="B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17A3-AA7D-44DF-8A45-54C9EC3B4100}">
  <dimension ref="A1:F7"/>
  <sheetViews>
    <sheetView workbookViewId="0">
      <selection activeCell="F2" sqref="F2"/>
    </sheetView>
  </sheetViews>
  <sheetFormatPr defaultRowHeight="26.25" x14ac:dyDescent="0.4"/>
  <cols>
    <col min="1" max="1" width="26.140625" style="1" bestFit="1" customWidth="1"/>
    <col min="2" max="2" width="23.85546875" style="1" customWidth="1"/>
    <col min="3" max="3" width="27" style="1" customWidth="1"/>
    <col min="4" max="4" width="23.140625" style="1" customWidth="1"/>
    <col min="5" max="5" width="9.140625" style="1"/>
    <col min="6" max="6" width="16.7109375" style="1" bestFit="1" customWidth="1"/>
    <col min="7" max="16384" width="9.140625" style="1"/>
  </cols>
  <sheetData>
    <row r="1" spans="1:6" x14ac:dyDescent="0.4">
      <c r="A1" s="51" t="s">
        <v>73</v>
      </c>
      <c r="B1" s="51"/>
      <c r="C1" s="51"/>
    </row>
    <row r="2" spans="1:6" x14ac:dyDescent="0.4">
      <c r="A2" s="11" t="s">
        <v>17</v>
      </c>
      <c r="B2" s="11" t="s">
        <v>23</v>
      </c>
      <c r="C2" s="18" t="s">
        <v>2</v>
      </c>
      <c r="F2" s="7" t="s">
        <v>10</v>
      </c>
    </row>
    <row r="3" spans="1:6" x14ac:dyDescent="0.4">
      <c r="A3" s="11" t="s">
        <v>18</v>
      </c>
      <c r="B3" s="15">
        <v>644</v>
      </c>
      <c r="C3" s="18" t="str">
        <f>IF(B3&gt;500,"High","Low")</f>
        <v>High</v>
      </c>
      <c r="D3" s="1" t="str">
        <f>IF(B3&gt;500,"H","L")</f>
        <v>H</v>
      </c>
      <c r="F3" s="1" t="s">
        <v>12</v>
      </c>
    </row>
    <row r="4" spans="1:6" x14ac:dyDescent="0.4">
      <c r="A4" s="11" t="s">
        <v>19</v>
      </c>
      <c r="B4" s="17">
        <v>911</v>
      </c>
      <c r="C4" s="18" t="str">
        <f t="shared" ref="C4:C7" si="0">IF(B4&gt;500,"High","Low")</f>
        <v>High</v>
      </c>
      <c r="D4" s="1" t="str">
        <f t="shared" ref="D4:D7" si="1">IF(B4&gt;500,"H","L")</f>
        <v>H</v>
      </c>
    </row>
    <row r="5" spans="1:6" x14ac:dyDescent="0.4">
      <c r="A5" s="11" t="s">
        <v>20</v>
      </c>
      <c r="B5" s="17">
        <v>74</v>
      </c>
      <c r="C5" s="18" t="str">
        <f t="shared" si="0"/>
        <v>Low</v>
      </c>
      <c r="D5" s="1" t="str">
        <f t="shared" si="1"/>
        <v>L</v>
      </c>
    </row>
    <row r="6" spans="1:6" x14ac:dyDescent="0.4">
      <c r="A6" s="11" t="s">
        <v>21</v>
      </c>
      <c r="B6" s="17">
        <v>312</v>
      </c>
      <c r="C6" s="18" t="str">
        <f t="shared" si="0"/>
        <v>Low</v>
      </c>
      <c r="D6" s="1" t="str">
        <f t="shared" si="1"/>
        <v>L</v>
      </c>
    </row>
    <row r="7" spans="1:6" x14ac:dyDescent="0.4">
      <c r="A7" s="11" t="s">
        <v>22</v>
      </c>
      <c r="B7" s="17">
        <v>970</v>
      </c>
      <c r="C7" s="18" t="str">
        <f t="shared" si="0"/>
        <v>High</v>
      </c>
      <c r="D7" s="1" t="str">
        <f t="shared" si="1"/>
        <v>H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023E-C8A8-4A69-81B1-AE32EF0799BD}">
  <dimension ref="A1:D7"/>
  <sheetViews>
    <sheetView workbookViewId="0">
      <selection activeCell="D7" sqref="D7"/>
    </sheetView>
  </sheetViews>
  <sheetFormatPr defaultRowHeight="26.25" x14ac:dyDescent="0.4"/>
  <cols>
    <col min="1" max="1" width="26.140625" style="1" bestFit="1" customWidth="1"/>
    <col min="2" max="2" width="15" style="1" customWidth="1"/>
    <col min="3" max="3" width="17.5703125" style="1" customWidth="1"/>
    <col min="4" max="4" width="27.28515625" style="1" customWidth="1"/>
    <col min="5" max="5" width="18.85546875" style="1" customWidth="1"/>
    <col min="6" max="16384" width="9.140625" style="1"/>
  </cols>
  <sheetData>
    <row r="1" spans="1:4" x14ac:dyDescent="0.4">
      <c r="A1" s="51" t="s">
        <v>13</v>
      </c>
      <c r="B1" s="51"/>
      <c r="C1" s="51"/>
    </row>
    <row r="2" spans="1:4" x14ac:dyDescent="0.4">
      <c r="A2" s="11" t="s">
        <v>17</v>
      </c>
      <c r="B2" s="11" t="s">
        <v>24</v>
      </c>
      <c r="C2" s="18" t="s">
        <v>2</v>
      </c>
    </row>
    <row r="3" spans="1:4" x14ac:dyDescent="0.4">
      <c r="A3" s="11" t="s">
        <v>18</v>
      </c>
      <c r="B3" s="15" t="s">
        <v>4</v>
      </c>
      <c r="C3" s="16">
        <f>IF(B3="USA",1,0)</f>
        <v>1</v>
      </c>
      <c r="D3" s="1">
        <f>IF(B3="usa",1,0)</f>
        <v>1</v>
      </c>
    </row>
    <row r="4" spans="1:4" x14ac:dyDescent="0.4">
      <c r="A4" s="11" t="s">
        <v>19</v>
      </c>
      <c r="B4" s="17" t="s">
        <v>5</v>
      </c>
      <c r="C4" s="18">
        <f t="shared" ref="C4:C7" si="0">IF(B4="USA",1,0)</f>
        <v>0</v>
      </c>
      <c r="D4" s="1">
        <f t="shared" ref="D4:D7" si="1">IF(B4="usa",1,0)</f>
        <v>0</v>
      </c>
    </row>
    <row r="5" spans="1:4" x14ac:dyDescent="0.4">
      <c r="A5" s="11" t="s">
        <v>20</v>
      </c>
      <c r="B5" s="15" t="s">
        <v>4</v>
      </c>
      <c r="C5" s="16">
        <f t="shared" si="0"/>
        <v>1</v>
      </c>
      <c r="D5" s="1">
        <f t="shared" si="1"/>
        <v>1</v>
      </c>
    </row>
    <row r="6" spans="1:4" x14ac:dyDescent="0.4">
      <c r="A6" s="11" t="s">
        <v>21</v>
      </c>
      <c r="B6" s="17" t="s">
        <v>5</v>
      </c>
      <c r="C6" s="18">
        <f t="shared" si="0"/>
        <v>0</v>
      </c>
      <c r="D6" s="1">
        <f t="shared" si="1"/>
        <v>0</v>
      </c>
    </row>
    <row r="7" spans="1:4" x14ac:dyDescent="0.4">
      <c r="A7" s="11" t="s">
        <v>22</v>
      </c>
      <c r="B7" s="17" t="s">
        <v>5</v>
      </c>
      <c r="C7" s="18">
        <f t="shared" si="0"/>
        <v>0</v>
      </c>
      <c r="D7" s="1">
        <f t="shared" si="1"/>
        <v>0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18F9-D0CE-4EE3-A78F-B7BFD588B83E}">
  <dimension ref="A1:L7"/>
  <sheetViews>
    <sheetView zoomScale="115" zoomScaleNormal="115" workbookViewId="0">
      <selection activeCell="D10" sqref="D10"/>
    </sheetView>
  </sheetViews>
  <sheetFormatPr defaultRowHeight="26.25" x14ac:dyDescent="0.25"/>
  <cols>
    <col min="1" max="1" width="26.140625" style="2" bestFit="1" customWidth="1"/>
    <col min="2" max="2" width="15" style="2" customWidth="1"/>
    <col min="3" max="3" width="17.5703125" style="2" customWidth="1"/>
    <col min="4" max="4" width="23" style="2" bestFit="1" customWidth="1"/>
    <col min="5" max="5" width="36" style="2" bestFit="1" customWidth="1"/>
    <col min="6" max="6" width="9.140625" style="2" customWidth="1"/>
    <col min="7" max="7" width="28.5703125" style="2" bestFit="1" customWidth="1"/>
    <col min="8" max="16384" width="9.140625" style="2"/>
  </cols>
  <sheetData>
    <row r="1" spans="1:12" x14ac:dyDescent="0.25">
      <c r="A1" s="52" t="s">
        <v>9</v>
      </c>
      <c r="B1" s="52"/>
      <c r="C1" s="52"/>
      <c r="D1" s="52"/>
    </row>
    <row r="2" spans="1:12" ht="30.75" x14ac:dyDescent="0.55000000000000004">
      <c r="A2" s="11" t="s">
        <v>17</v>
      </c>
      <c r="B2" s="19" t="s">
        <v>6</v>
      </c>
      <c r="C2" s="19" t="s">
        <v>7</v>
      </c>
      <c r="D2" s="19" t="s">
        <v>8</v>
      </c>
      <c r="L2" s="3"/>
    </row>
    <row r="3" spans="1:12" x14ac:dyDescent="0.35">
      <c r="A3" s="11" t="s">
        <v>18</v>
      </c>
      <c r="B3" s="12">
        <v>17</v>
      </c>
      <c r="C3" s="13">
        <v>119</v>
      </c>
      <c r="D3" s="14">
        <f>IF(C3&lt;&gt;"",C3-B3,"NO Data Avilable")</f>
        <v>102</v>
      </c>
      <c r="E3" s="2">
        <f>IF(C3&lt;&gt;"",C3-B3,"Plz Enter Vaild Data")</f>
        <v>102</v>
      </c>
      <c r="G3" s="19"/>
    </row>
    <row r="4" spans="1:12" x14ac:dyDescent="0.35">
      <c r="A4" s="11" t="s">
        <v>19</v>
      </c>
      <c r="B4" s="12">
        <v>25</v>
      </c>
      <c r="C4" s="13">
        <v>141</v>
      </c>
      <c r="D4" s="14">
        <f t="shared" ref="D4:D7" si="0">IF(C4&lt;&gt;"",C4-B4,"NO Data Avilable")</f>
        <v>116</v>
      </c>
      <c r="E4" s="2">
        <f t="shared" ref="E4:E7" si="1">IF(C4&lt;&gt;"",C4-B4,"Plz Enter Vaild Data")</f>
        <v>116</v>
      </c>
      <c r="G4" s="19"/>
    </row>
    <row r="5" spans="1:12" x14ac:dyDescent="0.35">
      <c r="A5" s="11" t="s">
        <v>20</v>
      </c>
      <c r="B5" s="12">
        <v>13</v>
      </c>
      <c r="C5" s="13">
        <v>131</v>
      </c>
      <c r="D5" s="14">
        <f t="shared" si="0"/>
        <v>118</v>
      </c>
      <c r="E5" s="2">
        <f t="shared" si="1"/>
        <v>118</v>
      </c>
      <c r="G5" s="19"/>
    </row>
    <row r="6" spans="1:12" x14ac:dyDescent="0.35">
      <c r="A6" s="11" t="s">
        <v>21</v>
      </c>
      <c r="B6" s="12">
        <v>30</v>
      </c>
      <c r="C6" s="31"/>
      <c r="D6" s="14" t="str">
        <f t="shared" si="0"/>
        <v>NO Data Avilable</v>
      </c>
      <c r="E6" s="2" t="str">
        <f t="shared" si="1"/>
        <v>Plz Enter Vaild Data</v>
      </c>
      <c r="G6" s="19"/>
    </row>
    <row r="7" spans="1:12" x14ac:dyDescent="0.35">
      <c r="A7" s="11" t="s">
        <v>22</v>
      </c>
      <c r="B7" s="12">
        <v>14</v>
      </c>
      <c r="C7" s="13">
        <v>107</v>
      </c>
      <c r="D7" s="14">
        <f t="shared" si="0"/>
        <v>93</v>
      </c>
      <c r="E7" s="2">
        <f t="shared" si="1"/>
        <v>93</v>
      </c>
      <c r="G7" s="19"/>
    </row>
  </sheetData>
  <mergeCells count="1">
    <mergeCell ref="A1:D1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C377-F1EF-4EBE-ABC0-164A6CFECC19}">
  <sheetPr codeName="Sheet1"/>
  <dimension ref="A1:I20"/>
  <sheetViews>
    <sheetView workbookViewId="0">
      <selection activeCell="I3" sqref="I3"/>
    </sheetView>
  </sheetViews>
  <sheetFormatPr defaultColWidth="9.140625" defaultRowHeight="26.25" x14ac:dyDescent="0.25"/>
  <cols>
    <col min="1" max="1" width="9.140625" style="2"/>
    <col min="2" max="2" width="14" style="2" bestFit="1" customWidth="1"/>
    <col min="3" max="3" width="28.42578125" style="2" customWidth="1"/>
    <col min="4" max="4" width="33.7109375" style="2" customWidth="1"/>
    <col min="5" max="5" width="12.7109375" style="2" customWidth="1"/>
    <col min="6" max="6" width="7.140625" style="2" customWidth="1"/>
    <col min="7" max="7" width="25.28515625" style="2" customWidth="1"/>
    <col min="8" max="8" width="9.140625" style="2"/>
    <col min="9" max="9" width="28.5703125" style="2" customWidth="1"/>
    <col min="10" max="16384" width="9.140625" style="2"/>
  </cols>
  <sheetData>
    <row r="1" spans="1:9" x14ac:dyDescent="0.4">
      <c r="A1" s="51" t="s">
        <v>16</v>
      </c>
      <c r="B1" s="51"/>
      <c r="C1" s="51"/>
      <c r="D1" s="51"/>
    </row>
    <row r="2" spans="1:9" s="4" customFormat="1" x14ac:dyDescent="0.35">
      <c r="A2" s="10"/>
      <c r="B2" s="10" t="s">
        <v>0</v>
      </c>
      <c r="C2" s="10" t="s">
        <v>1</v>
      </c>
      <c r="D2" s="10" t="s">
        <v>2</v>
      </c>
      <c r="G2" s="6" t="s">
        <v>10</v>
      </c>
      <c r="I2" s="48" t="s">
        <v>72</v>
      </c>
    </row>
    <row r="3" spans="1:9" x14ac:dyDescent="0.35">
      <c r="A3" s="9">
        <v>1</v>
      </c>
      <c r="B3" s="9" t="s">
        <v>31</v>
      </c>
      <c r="C3" s="9">
        <v>3.99</v>
      </c>
      <c r="D3" s="9" t="str">
        <f>IF(C3&gt;=5,"ex",IF(C3&gt;=4,"g",IF(C3&gt;=3,"g",IF(C3&gt;=2,"b","no"))))</f>
        <v>g</v>
      </c>
      <c r="F3" s="9">
        <v>5</v>
      </c>
      <c r="G3" s="9" t="s">
        <v>30</v>
      </c>
      <c r="I3" s="2" t="str">
        <f>_xlfn.IFS(C3&gt;=5,"ex",C3&gt;=4,"VG",C3&gt;=3,"G",C3&gt;=2,"B",C3&lt;=2,"Not")</f>
        <v>G</v>
      </c>
    </row>
    <row r="4" spans="1:9" x14ac:dyDescent="0.35">
      <c r="A4" s="9">
        <v>2</v>
      </c>
      <c r="B4" s="9" t="s">
        <v>32</v>
      </c>
      <c r="C4" s="9">
        <v>1.5</v>
      </c>
      <c r="D4" s="9" t="str">
        <f t="shared" ref="D4:D12" si="0">IF(C4&gt;=5,"ex",IF(C4&gt;=4,"g",IF(C4&gt;=3,"g",IF(C4&gt;=2,"b","no"))))</f>
        <v>no</v>
      </c>
      <c r="F4" s="9">
        <v>4</v>
      </c>
      <c r="G4" s="9" t="s">
        <v>76</v>
      </c>
      <c r="I4" s="2" t="str">
        <f t="shared" ref="I4:I12" si="1">_xlfn.IFS(C4&gt;=5,"ex",C4&gt;=4,"VG",C4&gt;=3,"G",C4&gt;=2,"B",C4&lt;=2,"Not")</f>
        <v>Not</v>
      </c>
    </row>
    <row r="5" spans="1:9" x14ac:dyDescent="0.35">
      <c r="A5" s="9">
        <v>3</v>
      </c>
      <c r="B5" s="9" t="s">
        <v>33</v>
      </c>
      <c r="C5" s="9">
        <v>2</v>
      </c>
      <c r="D5" s="9" t="str">
        <f t="shared" si="0"/>
        <v>b</v>
      </c>
      <c r="F5" s="9">
        <v>3</v>
      </c>
      <c r="G5" s="9" t="s">
        <v>14</v>
      </c>
      <c r="I5" s="2" t="str">
        <f t="shared" si="1"/>
        <v>B</v>
      </c>
    </row>
    <row r="6" spans="1:9" x14ac:dyDescent="0.35">
      <c r="A6" s="9">
        <v>4</v>
      </c>
      <c r="B6" s="9" t="s">
        <v>34</v>
      </c>
      <c r="C6" s="9">
        <v>0</v>
      </c>
      <c r="D6" s="9" t="str">
        <f t="shared" si="0"/>
        <v>no</v>
      </c>
      <c r="F6" s="9">
        <v>2</v>
      </c>
      <c r="G6" s="9" t="s">
        <v>15</v>
      </c>
      <c r="I6" s="2" t="str">
        <f t="shared" si="1"/>
        <v>Not</v>
      </c>
    </row>
    <row r="7" spans="1:9" x14ac:dyDescent="0.35">
      <c r="A7" s="9">
        <v>5</v>
      </c>
      <c r="B7" s="9" t="s">
        <v>35</v>
      </c>
      <c r="C7" s="9">
        <v>2</v>
      </c>
      <c r="D7" s="9" t="str">
        <f t="shared" si="0"/>
        <v>b</v>
      </c>
      <c r="F7" s="9">
        <v>1</v>
      </c>
      <c r="G7" s="9" t="s">
        <v>77</v>
      </c>
      <c r="I7" s="2" t="str">
        <f t="shared" si="1"/>
        <v>B</v>
      </c>
    </row>
    <row r="8" spans="1:9" x14ac:dyDescent="0.35">
      <c r="A8" s="9">
        <v>6</v>
      </c>
      <c r="B8" s="9" t="s">
        <v>36</v>
      </c>
      <c r="C8" s="9">
        <v>7</v>
      </c>
      <c r="D8" s="9" t="str">
        <f t="shared" si="0"/>
        <v>ex</v>
      </c>
      <c r="I8" s="2" t="str">
        <f t="shared" si="1"/>
        <v>ex</v>
      </c>
    </row>
    <row r="9" spans="1:9" x14ac:dyDescent="0.35">
      <c r="A9" s="9">
        <v>7</v>
      </c>
      <c r="B9" s="9" t="s">
        <v>37</v>
      </c>
      <c r="C9" s="9">
        <v>5</v>
      </c>
      <c r="D9" s="9" t="str">
        <f t="shared" si="0"/>
        <v>ex</v>
      </c>
      <c r="I9" s="2" t="str">
        <f t="shared" si="1"/>
        <v>ex</v>
      </c>
    </row>
    <row r="10" spans="1:9" x14ac:dyDescent="0.35">
      <c r="A10" s="9">
        <v>8</v>
      </c>
      <c r="B10" s="9" t="s">
        <v>38</v>
      </c>
      <c r="C10" s="9">
        <v>2</v>
      </c>
      <c r="D10" s="9" t="str">
        <f t="shared" si="0"/>
        <v>b</v>
      </c>
      <c r="I10" s="2" t="str">
        <f t="shared" si="1"/>
        <v>B</v>
      </c>
    </row>
    <row r="11" spans="1:9" x14ac:dyDescent="0.35">
      <c r="A11" s="9">
        <v>9</v>
      </c>
      <c r="B11" s="9" t="s">
        <v>39</v>
      </c>
      <c r="C11" s="9">
        <v>1</v>
      </c>
      <c r="D11" s="9" t="str">
        <f t="shared" si="0"/>
        <v>no</v>
      </c>
      <c r="I11" s="2" t="str">
        <f t="shared" si="1"/>
        <v>Not</v>
      </c>
    </row>
    <row r="12" spans="1:9" x14ac:dyDescent="0.35">
      <c r="A12" s="9">
        <v>10</v>
      </c>
      <c r="B12" s="9" t="s">
        <v>40</v>
      </c>
      <c r="C12" s="9">
        <v>0</v>
      </c>
      <c r="D12" s="9" t="str">
        <f t="shared" si="0"/>
        <v>no</v>
      </c>
      <c r="F12" s="5"/>
      <c r="I12" s="2" t="str">
        <f t="shared" si="1"/>
        <v>Not</v>
      </c>
    </row>
    <row r="20" spans="3:4" x14ac:dyDescent="0.25">
      <c r="C20" s="2" t="s">
        <v>88</v>
      </c>
      <c r="D20" s="2" t="s">
        <v>87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525F-B80C-480E-A8CC-41963EA0FE8A}">
  <dimension ref="A1:N13"/>
  <sheetViews>
    <sheetView workbookViewId="0">
      <selection activeCell="L12" sqref="L12"/>
    </sheetView>
  </sheetViews>
  <sheetFormatPr defaultRowHeight="15" x14ac:dyDescent="0.25"/>
  <cols>
    <col min="1" max="1" width="9.140625" customWidth="1"/>
    <col min="2" max="2" width="9.42578125" customWidth="1"/>
    <col min="5" max="5" width="14" bestFit="1" customWidth="1"/>
    <col min="8" max="8" width="13" bestFit="1" customWidth="1"/>
  </cols>
  <sheetData>
    <row r="1" spans="1:14" ht="26.25" x14ac:dyDescent="0.25">
      <c r="A1" s="52" t="s">
        <v>72</v>
      </c>
      <c r="B1" s="52"/>
      <c r="C1" s="52"/>
      <c r="D1" s="52"/>
    </row>
    <row r="3" spans="1:14" ht="21" x14ac:dyDescent="0.35">
      <c r="A3" s="9">
        <v>1</v>
      </c>
      <c r="B3" s="9" t="str">
        <f t="array" ref="B3">_xlfn.IFS(A3=1,"Bad",A3=2,"Good",A3=3,"Excellent",TRUE,"No Valid Score")</f>
        <v>Bad</v>
      </c>
      <c r="E3" s="29" t="s">
        <v>0</v>
      </c>
      <c r="F3" s="29" t="s">
        <v>1</v>
      </c>
      <c r="G3" s="29" t="s">
        <v>3</v>
      </c>
    </row>
    <row r="4" spans="1:14" ht="23.25" x14ac:dyDescent="0.35">
      <c r="A4" s="9">
        <v>41</v>
      </c>
      <c r="B4" s="9" t="str">
        <f t="array" ref="B4">_xlfn.IFS(A4&lt;60,"F",A4&lt;70,"D",A4&lt;80,"C",A4&lt;90,"B",A4&gt;=90,"A")</f>
        <v>F</v>
      </c>
      <c r="E4" s="9" t="s">
        <v>31</v>
      </c>
      <c r="F4" s="9">
        <v>91</v>
      </c>
      <c r="G4" s="9" t="str">
        <f>_xlfn.IFS(F4&lt;60,"f",F4&lt;70,"d",F4&lt;80,"c",F4&lt;90,"b",F4&gt;90,"A")</f>
        <v>A</v>
      </c>
      <c r="H4" s="19" t="str">
        <f>_xlfn.IFS(F4&gt;=90,"A",F4&gt;=80,"B",F4&gt;=70,"C",F4&gt;=60,"d",F4&lt;=50,"Bad value")</f>
        <v>A</v>
      </c>
      <c r="M4" s="37" t="s">
        <v>25</v>
      </c>
      <c r="N4" s="37">
        <v>90</v>
      </c>
    </row>
    <row r="5" spans="1:14" ht="23.25" x14ac:dyDescent="0.35">
      <c r="E5" s="9" t="s">
        <v>32</v>
      </c>
      <c r="F5" s="9">
        <v>82</v>
      </c>
      <c r="G5" s="9" t="str">
        <f t="shared" ref="G5:G13" si="0">_xlfn.IFS(F5&lt;60,"f",F5&lt;70,"d",F5&lt;80,"c",F5&lt;90,"b",F5&gt;90,"A")</f>
        <v>b</v>
      </c>
      <c r="H5" s="19" t="str">
        <f t="shared" ref="H5:H13" si="1">_xlfn.IFS(F5&gt;=90,"A",F5&gt;=80,"B",F5&gt;=70,"C",F5&gt;=60,"d",F5&lt;=50,"Bad value")</f>
        <v>B</v>
      </c>
      <c r="M5" s="37" t="s">
        <v>78</v>
      </c>
      <c r="N5" s="37">
        <v>80</v>
      </c>
    </row>
    <row r="6" spans="1:14" ht="23.25" x14ac:dyDescent="0.35">
      <c r="E6" s="9" t="s">
        <v>33</v>
      </c>
      <c r="F6" s="9">
        <v>91.3</v>
      </c>
      <c r="G6" s="9" t="str">
        <f t="shared" si="0"/>
        <v>A</v>
      </c>
      <c r="H6" s="19" t="str">
        <f t="shared" si="1"/>
        <v>A</v>
      </c>
      <c r="M6" s="37" t="s">
        <v>27</v>
      </c>
      <c r="N6" s="37">
        <v>70</v>
      </c>
    </row>
    <row r="7" spans="1:14" ht="23.25" x14ac:dyDescent="0.35">
      <c r="E7" s="9" t="s">
        <v>34</v>
      </c>
      <c r="F7" s="9">
        <v>76</v>
      </c>
      <c r="G7" s="9" t="str">
        <f t="shared" si="0"/>
        <v>c</v>
      </c>
      <c r="H7" s="19" t="str">
        <f t="shared" si="1"/>
        <v>C</v>
      </c>
      <c r="M7" s="37" t="s">
        <v>28</v>
      </c>
      <c r="N7" s="37">
        <v>60</v>
      </c>
    </row>
    <row r="8" spans="1:14" ht="23.25" x14ac:dyDescent="0.35">
      <c r="E8" s="9" t="s">
        <v>35</v>
      </c>
      <c r="F8" s="9">
        <v>71.2</v>
      </c>
      <c r="G8" s="9" t="str">
        <f t="shared" si="0"/>
        <v>c</v>
      </c>
      <c r="H8" s="19" t="str">
        <f t="shared" si="1"/>
        <v>C</v>
      </c>
      <c r="M8" s="37" t="s">
        <v>74</v>
      </c>
      <c r="N8" s="37">
        <v>50</v>
      </c>
    </row>
    <row r="9" spans="1:14" ht="23.25" x14ac:dyDescent="0.35">
      <c r="E9" s="9" t="s">
        <v>36</v>
      </c>
      <c r="F9" s="9">
        <v>80.599999999999994</v>
      </c>
      <c r="G9" s="9" t="str">
        <f t="shared" si="0"/>
        <v>b</v>
      </c>
      <c r="H9" s="19" t="str">
        <f t="shared" si="1"/>
        <v>B</v>
      </c>
      <c r="M9" s="37" t="s">
        <v>29</v>
      </c>
      <c r="N9" s="37">
        <v>0</v>
      </c>
    </row>
    <row r="10" spans="1:14" ht="21" x14ac:dyDescent="0.35">
      <c r="E10" s="9" t="s">
        <v>37</v>
      </c>
      <c r="F10" s="9">
        <v>85</v>
      </c>
      <c r="G10" s="9" t="str">
        <f t="shared" si="0"/>
        <v>b</v>
      </c>
      <c r="H10" s="19" t="str">
        <f t="shared" si="1"/>
        <v>B</v>
      </c>
    </row>
    <row r="11" spans="1:14" ht="21" x14ac:dyDescent="0.35">
      <c r="E11" s="9" t="s">
        <v>38</v>
      </c>
      <c r="F11" s="9">
        <v>79.2</v>
      </c>
      <c r="G11" s="9" t="str">
        <f t="shared" si="0"/>
        <v>c</v>
      </c>
      <c r="H11" s="19" t="str">
        <f t="shared" si="1"/>
        <v>C</v>
      </c>
    </row>
    <row r="12" spans="1:14" ht="21" x14ac:dyDescent="0.35">
      <c r="E12" s="9" t="s">
        <v>39</v>
      </c>
      <c r="F12" s="9">
        <v>76.599999999999994</v>
      </c>
      <c r="G12" s="9" t="str">
        <f t="shared" si="0"/>
        <v>c</v>
      </c>
      <c r="H12" s="19" t="str">
        <f t="shared" si="1"/>
        <v>C</v>
      </c>
    </row>
    <row r="13" spans="1:14" ht="21" x14ac:dyDescent="0.35">
      <c r="E13" s="9" t="s">
        <v>40</v>
      </c>
      <c r="F13" s="9">
        <v>40</v>
      </c>
      <c r="G13" s="9" t="str">
        <f t="shared" si="0"/>
        <v>f</v>
      </c>
      <c r="H13" s="19" t="str">
        <f t="shared" si="1"/>
        <v>Bad value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9596-CA2D-4809-AC54-7B20B996248E}">
  <dimension ref="A1:E10"/>
  <sheetViews>
    <sheetView view="pageBreakPreview" zoomScale="145" zoomScaleNormal="160" zoomScaleSheetLayoutView="145" workbookViewId="0">
      <selection activeCell="B4" sqref="B4"/>
    </sheetView>
  </sheetViews>
  <sheetFormatPr defaultRowHeight="21" x14ac:dyDescent="0.25"/>
  <cols>
    <col min="1" max="1" width="26.140625" style="19" bestFit="1" customWidth="1"/>
    <col min="2" max="2" width="23.7109375" style="19" bestFit="1" customWidth="1"/>
    <col min="3" max="3" width="17.5703125" style="19" customWidth="1"/>
    <col min="4" max="5" width="22.140625" style="19" customWidth="1"/>
    <col min="6" max="16384" width="9.140625" style="19"/>
  </cols>
  <sheetData>
    <row r="1" spans="1:5" x14ac:dyDescent="0.25">
      <c r="A1" s="50" t="s">
        <v>41</v>
      </c>
      <c r="B1" s="50"/>
      <c r="C1" s="50"/>
      <c r="D1" s="50"/>
      <c r="E1" s="30"/>
    </row>
    <row r="2" spans="1:5" ht="23.25" x14ac:dyDescent="0.35">
      <c r="A2" s="10" t="s">
        <v>42</v>
      </c>
      <c r="B2" s="20" t="s">
        <v>43</v>
      </c>
      <c r="C2" s="20" t="s">
        <v>44</v>
      </c>
      <c r="D2" s="32" t="s">
        <v>45</v>
      </c>
      <c r="E2" s="49" t="s">
        <v>45</v>
      </c>
    </row>
    <row r="3" spans="1:5" x14ac:dyDescent="0.25">
      <c r="A3" s="21" t="s">
        <v>46</v>
      </c>
      <c r="B3" s="22">
        <v>3000</v>
      </c>
      <c r="C3" s="23">
        <v>30</v>
      </c>
      <c r="D3" s="23">
        <f>IFERROR(B3/C3,"عدل البيانات")</f>
        <v>100</v>
      </c>
      <c r="E3" s="33">
        <f>IFERROR(D3,"برجاء مراجعة العملية")</f>
        <v>100</v>
      </c>
    </row>
    <row r="4" spans="1:5" x14ac:dyDescent="0.25">
      <c r="A4" s="21" t="s">
        <v>47</v>
      </c>
      <c r="B4" s="22">
        <v>2500</v>
      </c>
      <c r="C4" s="23">
        <v>0</v>
      </c>
      <c r="D4" s="23" t="str">
        <f t="shared" ref="D4:D10" si="0">IFERROR(B4/C4,"عدل البيانات")</f>
        <v>عدل البيانات</v>
      </c>
      <c r="E4" s="33" t="str">
        <f t="shared" ref="E4:E10" si="1">IFERROR(D4,"برجاء مراجعة العملية")</f>
        <v>عدل البيانات</v>
      </c>
    </row>
    <row r="5" spans="1:5" x14ac:dyDescent="0.25">
      <c r="A5" s="21" t="s">
        <v>48</v>
      </c>
      <c r="B5" s="22">
        <v>4000</v>
      </c>
      <c r="C5" s="23">
        <v>20</v>
      </c>
      <c r="D5" s="23">
        <f t="shared" si="0"/>
        <v>200</v>
      </c>
      <c r="E5" s="33">
        <f t="shared" si="1"/>
        <v>200</v>
      </c>
    </row>
    <row r="6" spans="1:5" x14ac:dyDescent="0.25">
      <c r="A6" s="21" t="s">
        <v>49</v>
      </c>
      <c r="B6" s="22">
        <v>5000</v>
      </c>
      <c r="C6" s="23">
        <v>7</v>
      </c>
      <c r="D6" s="23">
        <f t="shared" si="0"/>
        <v>714.28571428571433</v>
      </c>
      <c r="E6" s="33">
        <f t="shared" si="1"/>
        <v>714.28571428571433</v>
      </c>
    </row>
    <row r="7" spans="1:5" x14ac:dyDescent="0.25">
      <c r="A7" s="21" t="s">
        <v>50</v>
      </c>
      <c r="B7" s="22">
        <v>5800</v>
      </c>
      <c r="C7" s="23">
        <v>30</v>
      </c>
      <c r="D7" s="23">
        <f t="shared" si="0"/>
        <v>193.33333333333334</v>
      </c>
      <c r="E7" s="33">
        <f t="shared" si="1"/>
        <v>193.33333333333334</v>
      </c>
    </row>
    <row r="8" spans="1:5" x14ac:dyDescent="0.25">
      <c r="A8" s="21" t="s">
        <v>51</v>
      </c>
      <c r="B8" s="22">
        <v>1200</v>
      </c>
      <c r="C8" s="23"/>
      <c r="D8" s="23" t="str">
        <f t="shared" si="0"/>
        <v>عدل البيانات</v>
      </c>
      <c r="E8" s="33" t="str">
        <f t="shared" si="1"/>
        <v>عدل البيانات</v>
      </c>
    </row>
    <row r="9" spans="1:5" x14ac:dyDescent="0.25">
      <c r="A9" s="21" t="s">
        <v>52</v>
      </c>
      <c r="B9" s="22">
        <v>280</v>
      </c>
      <c r="C9" s="23">
        <v>10</v>
      </c>
      <c r="D9" s="23">
        <f t="shared" si="0"/>
        <v>28</v>
      </c>
      <c r="E9" s="33">
        <f t="shared" si="1"/>
        <v>28</v>
      </c>
    </row>
    <row r="10" spans="1:5" x14ac:dyDescent="0.25">
      <c r="A10" s="21" t="s">
        <v>53</v>
      </c>
      <c r="B10" s="22">
        <v>330</v>
      </c>
      <c r="C10" s="23">
        <v>50</v>
      </c>
      <c r="D10" s="23">
        <f t="shared" si="0"/>
        <v>6.6</v>
      </c>
      <c r="E10" s="33">
        <f t="shared" si="1"/>
        <v>6.6</v>
      </c>
    </row>
  </sheetData>
  <mergeCells count="1">
    <mergeCell ref="A1:D1"/>
  </mergeCells>
  <conditionalFormatting sqref="D3:D10">
    <cfRule type="cellIs" dxfId="0" priority="1" operator="equal">
      <formula>"عدل البيانات"</formula>
    </cfRule>
  </conditionalFormatting>
  <pageMargins left="0.7" right="0.7" top="0.75" bottom="0.75" header="0.3" footer="0.3"/>
  <pageSetup scale="74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63CC-84F8-47B1-BB8C-400F7E03C4EE}">
  <dimension ref="A1:K13"/>
  <sheetViews>
    <sheetView workbookViewId="0">
      <selection activeCell="H8" sqref="H8"/>
    </sheetView>
  </sheetViews>
  <sheetFormatPr defaultRowHeight="21" x14ac:dyDescent="0.25"/>
  <cols>
    <col min="1" max="1" width="26.140625" style="19" bestFit="1" customWidth="1"/>
    <col min="2" max="2" width="23.7109375" style="19" bestFit="1" customWidth="1"/>
    <col min="3" max="4" width="17.5703125" style="19" customWidth="1"/>
    <col min="5" max="5" width="12.7109375" style="19" customWidth="1"/>
    <col min="6" max="6" width="3.28515625" style="19" customWidth="1"/>
    <col min="7" max="8" width="12.5703125" style="19" customWidth="1"/>
    <col min="9" max="11" width="20.7109375" style="19" bestFit="1" customWidth="1"/>
    <col min="12" max="16384" width="9.140625" style="19"/>
  </cols>
  <sheetData>
    <row r="1" spans="1:11" x14ac:dyDescent="0.25">
      <c r="A1" s="50" t="s">
        <v>54</v>
      </c>
      <c r="B1" s="50"/>
      <c r="C1" s="50"/>
      <c r="D1" s="50"/>
      <c r="E1" s="50"/>
      <c r="G1" s="12" t="s">
        <v>55</v>
      </c>
      <c r="H1" s="12"/>
      <c r="I1" s="12" t="s">
        <v>56</v>
      </c>
      <c r="J1" s="12" t="s">
        <v>56</v>
      </c>
      <c r="K1" s="12" t="s">
        <v>56</v>
      </c>
    </row>
    <row r="2" spans="1:11" x14ac:dyDescent="0.35">
      <c r="A2" s="10" t="s">
        <v>42</v>
      </c>
      <c r="B2" s="20" t="s">
        <v>43</v>
      </c>
      <c r="C2" s="20" t="s">
        <v>44</v>
      </c>
      <c r="D2" s="20" t="s">
        <v>90</v>
      </c>
      <c r="E2" s="20" t="s">
        <v>23</v>
      </c>
      <c r="G2" s="19" t="s">
        <v>57</v>
      </c>
      <c r="I2" s="19" t="s">
        <v>58</v>
      </c>
      <c r="J2" s="19" t="s">
        <v>59</v>
      </c>
      <c r="K2" s="19" t="s">
        <v>59</v>
      </c>
    </row>
    <row r="3" spans="1:11" ht="25.5" x14ac:dyDescent="0.25">
      <c r="A3" s="21" t="s">
        <v>46</v>
      </c>
      <c r="B3" s="22">
        <v>3000</v>
      </c>
      <c r="C3" s="27">
        <v>5</v>
      </c>
      <c r="D3" s="27">
        <v>1</v>
      </c>
      <c r="E3" s="23">
        <v>10</v>
      </c>
      <c r="G3" s="25"/>
      <c r="H3" s="25"/>
    </row>
    <row r="4" spans="1:11" x14ac:dyDescent="0.25">
      <c r="A4" s="54" t="s">
        <v>47</v>
      </c>
      <c r="B4" s="54">
        <v>2500</v>
      </c>
      <c r="C4" s="55">
        <v>4</v>
      </c>
      <c r="D4" s="55">
        <v>1</v>
      </c>
      <c r="E4" s="55">
        <v>20</v>
      </c>
      <c r="G4" s="19">
        <f>SUMIF(A3:A11,A5,E3:E11)</f>
        <v>70</v>
      </c>
    </row>
    <row r="5" spans="1:11" x14ac:dyDescent="0.25">
      <c r="A5" s="21" t="s">
        <v>48</v>
      </c>
      <c r="B5" s="22">
        <v>4000</v>
      </c>
      <c r="C5" s="27">
        <v>3</v>
      </c>
      <c r="D5" s="27">
        <v>2</v>
      </c>
      <c r="E5" s="26">
        <v>30</v>
      </c>
    </row>
    <row r="6" spans="1:11" x14ac:dyDescent="0.25">
      <c r="A6" s="21" t="s">
        <v>48</v>
      </c>
      <c r="B6" s="22">
        <v>5000</v>
      </c>
      <c r="C6" s="27">
        <v>5</v>
      </c>
      <c r="D6" s="27">
        <v>3</v>
      </c>
      <c r="E6" s="26">
        <v>40</v>
      </c>
    </row>
    <row r="7" spans="1:11" ht="26.25" customHeight="1" x14ac:dyDescent="0.25">
      <c r="A7" s="21" t="s">
        <v>50</v>
      </c>
      <c r="B7" s="22">
        <v>5800</v>
      </c>
      <c r="C7" s="27">
        <v>5</v>
      </c>
      <c r="D7" s="27">
        <v>1</v>
      </c>
      <c r="E7" s="23">
        <v>50</v>
      </c>
      <c r="I7" s="19" t="s">
        <v>92</v>
      </c>
      <c r="J7" s="53" t="s">
        <v>91</v>
      </c>
    </row>
    <row r="8" spans="1:11" x14ac:dyDescent="0.25">
      <c r="A8" s="21" t="s">
        <v>60</v>
      </c>
      <c r="B8" s="22">
        <v>1200</v>
      </c>
      <c r="C8" s="27">
        <v>5</v>
      </c>
      <c r="D8" s="27">
        <v>4</v>
      </c>
      <c r="E8" s="23">
        <v>60</v>
      </c>
      <c r="I8" s="19">
        <f>SUMIFS(E3:E11,A3:A11,A4,D3:D11,1)</f>
        <v>30</v>
      </c>
      <c r="J8" s="53"/>
    </row>
    <row r="9" spans="1:11" x14ac:dyDescent="0.25">
      <c r="A9" s="54" t="s">
        <v>89</v>
      </c>
      <c r="B9" s="54">
        <v>1000</v>
      </c>
      <c r="C9" s="55">
        <v>5</v>
      </c>
      <c r="D9" s="55">
        <v>1</v>
      </c>
      <c r="E9" s="55">
        <v>10</v>
      </c>
      <c r="J9" s="53"/>
    </row>
    <row r="10" spans="1:11" x14ac:dyDescent="0.25">
      <c r="A10" s="21" t="s">
        <v>52</v>
      </c>
      <c r="B10" s="22">
        <v>280</v>
      </c>
      <c r="C10" s="27">
        <v>4</v>
      </c>
      <c r="D10" s="27">
        <v>1</v>
      </c>
      <c r="E10" s="23">
        <f t="shared" ref="E10:E11" si="0">B10/C10</f>
        <v>70</v>
      </c>
      <c r="J10" s="53"/>
    </row>
    <row r="11" spans="1:11" x14ac:dyDescent="0.25">
      <c r="A11" s="21" t="s">
        <v>53</v>
      </c>
      <c r="B11" s="22">
        <v>300</v>
      </c>
      <c r="C11" s="23">
        <v>60</v>
      </c>
      <c r="D11" s="23">
        <v>2</v>
      </c>
      <c r="E11" s="26">
        <f t="shared" si="0"/>
        <v>5</v>
      </c>
      <c r="J11" s="53"/>
    </row>
    <row r="13" spans="1:11" x14ac:dyDescent="0.25">
      <c r="B13" s="19" t="s">
        <v>92</v>
      </c>
    </row>
  </sheetData>
  <mergeCells count="2">
    <mergeCell ref="A1:E1"/>
    <mergeCell ref="J7:J11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AE6E-950A-4C93-A1CC-76657EF40864}">
  <dimension ref="B1:J18"/>
  <sheetViews>
    <sheetView zoomScale="130" zoomScaleNormal="130" workbookViewId="0">
      <selection activeCell="H6" sqref="H6"/>
    </sheetView>
  </sheetViews>
  <sheetFormatPr defaultRowHeight="21" x14ac:dyDescent="0.25"/>
  <cols>
    <col min="1" max="1" width="10.85546875" style="19" customWidth="1"/>
    <col min="2" max="2" width="26.140625" style="19" bestFit="1" customWidth="1"/>
    <col min="3" max="3" width="23.7109375" style="19" bestFit="1" customWidth="1"/>
    <col min="4" max="4" width="17.5703125" style="19" customWidth="1"/>
    <col min="5" max="5" width="24" style="19" bestFit="1" customWidth="1"/>
    <col min="6" max="6" width="2.140625" style="19" customWidth="1"/>
    <col min="7" max="7" width="11.28515625" style="19" bestFit="1" customWidth="1"/>
    <col min="8" max="8" width="17.140625" style="19" customWidth="1"/>
    <col min="9" max="9" width="16.5703125" style="19" bestFit="1" customWidth="1"/>
    <col min="10" max="10" width="24.140625" style="19" bestFit="1" customWidth="1"/>
    <col min="11" max="11" width="12.140625" style="19" bestFit="1" customWidth="1"/>
    <col min="12" max="16384" width="9.140625" style="19"/>
  </cols>
  <sheetData>
    <row r="1" spans="2:10" x14ac:dyDescent="0.25">
      <c r="B1" s="50" t="s">
        <v>62</v>
      </c>
      <c r="C1" s="50"/>
      <c r="D1" s="50"/>
      <c r="E1" s="50"/>
      <c r="H1" s="12" t="s">
        <v>63</v>
      </c>
      <c r="I1" s="12" t="s">
        <v>64</v>
      </c>
      <c r="J1" s="12" t="s">
        <v>65</v>
      </c>
    </row>
    <row r="2" spans="2:10" x14ac:dyDescent="0.35">
      <c r="B2" s="10" t="s">
        <v>42</v>
      </c>
      <c r="C2" s="20" t="s">
        <v>43</v>
      </c>
      <c r="D2" s="20" t="s">
        <v>44</v>
      </c>
      <c r="E2" s="20" t="s">
        <v>23</v>
      </c>
    </row>
    <row r="3" spans="2:10" x14ac:dyDescent="0.25">
      <c r="B3" s="22" t="s">
        <v>66</v>
      </c>
      <c r="C3" s="22">
        <v>3000</v>
      </c>
      <c r="D3" s="27">
        <v>30</v>
      </c>
      <c r="E3" s="27">
        <f>C3/D3</f>
        <v>100</v>
      </c>
      <c r="G3" s="28" t="s">
        <v>97</v>
      </c>
      <c r="H3" s="34">
        <f>COUNTIF(B3:B18,B3)</f>
        <v>6</v>
      </c>
    </row>
    <row r="4" spans="2:10" x14ac:dyDescent="0.25">
      <c r="B4" s="22" t="s">
        <v>67</v>
      </c>
      <c r="C4" s="22">
        <v>2500</v>
      </c>
      <c r="D4" s="27">
        <v>10</v>
      </c>
      <c r="E4" s="24">
        <f t="shared" ref="E4:E10" si="0">C4/D4</f>
        <v>250</v>
      </c>
    </row>
    <row r="5" spans="2:10" x14ac:dyDescent="0.25">
      <c r="B5" s="22" t="s">
        <v>61</v>
      </c>
      <c r="C5" s="22">
        <v>4000</v>
      </c>
      <c r="D5" s="35">
        <v>20</v>
      </c>
      <c r="E5" s="24">
        <f t="shared" si="0"/>
        <v>200</v>
      </c>
      <c r="J5" s="28">
        <v>10</v>
      </c>
    </row>
    <row r="6" spans="2:10" x14ac:dyDescent="0.25">
      <c r="B6" s="22" t="s">
        <v>66</v>
      </c>
      <c r="C6" s="22">
        <v>5000</v>
      </c>
      <c r="D6" s="27">
        <v>8</v>
      </c>
      <c r="E6" s="24">
        <f t="shared" si="0"/>
        <v>625</v>
      </c>
      <c r="G6" s="19" t="s">
        <v>98</v>
      </c>
      <c r="H6" s="19">
        <f>COUNTIFS(B3:B18,B3,C3:C18,"&gt;3000")</f>
        <v>2</v>
      </c>
      <c r="J6" s="28">
        <v>20</v>
      </c>
    </row>
    <row r="7" spans="2:10" x14ac:dyDescent="0.25">
      <c r="B7" s="22" t="s">
        <v>68</v>
      </c>
      <c r="C7" s="22">
        <v>5800</v>
      </c>
      <c r="D7" s="27">
        <v>10</v>
      </c>
      <c r="E7" s="24">
        <f t="shared" si="0"/>
        <v>580</v>
      </c>
      <c r="J7" s="28" t="s">
        <v>85</v>
      </c>
    </row>
    <row r="8" spans="2:10" x14ac:dyDescent="0.25">
      <c r="B8" s="22" t="s">
        <v>69</v>
      </c>
      <c r="C8" s="22">
        <v>1200</v>
      </c>
      <c r="D8" s="35">
        <v>20</v>
      </c>
      <c r="E8" s="27">
        <f t="shared" si="0"/>
        <v>60</v>
      </c>
      <c r="J8" s="28" t="s">
        <v>93</v>
      </c>
    </row>
    <row r="9" spans="2:10" x14ac:dyDescent="0.25">
      <c r="B9" s="22" t="s">
        <v>66</v>
      </c>
      <c r="C9" s="22">
        <v>280</v>
      </c>
      <c r="D9" s="27">
        <v>10</v>
      </c>
      <c r="E9" s="27">
        <f t="shared" si="0"/>
        <v>28</v>
      </c>
      <c r="J9" s="28" t="s">
        <v>94</v>
      </c>
    </row>
    <row r="10" spans="2:10" x14ac:dyDescent="0.25">
      <c r="B10" s="22" t="s">
        <v>60</v>
      </c>
      <c r="C10" s="22">
        <v>300</v>
      </c>
      <c r="D10" s="27">
        <v>60</v>
      </c>
      <c r="E10" s="27">
        <f t="shared" si="0"/>
        <v>5</v>
      </c>
      <c r="J10" s="56">
        <v>45455</v>
      </c>
    </row>
    <row r="11" spans="2:10" x14ac:dyDescent="0.25">
      <c r="B11" s="22" t="s">
        <v>70</v>
      </c>
      <c r="C11" s="22">
        <v>3000</v>
      </c>
      <c r="D11" s="27">
        <v>30</v>
      </c>
      <c r="E11" s="27">
        <f>C11/D11</f>
        <v>100</v>
      </c>
      <c r="J11" s="57">
        <v>0.51874999999999993</v>
      </c>
    </row>
    <row r="12" spans="2:10" x14ac:dyDescent="0.25">
      <c r="B12" s="22" t="s">
        <v>66</v>
      </c>
      <c r="C12" s="22">
        <v>2500</v>
      </c>
      <c r="D12" s="27">
        <v>10</v>
      </c>
      <c r="E12" s="24">
        <f t="shared" ref="E12:E18" si="1">C12/D12</f>
        <v>250</v>
      </c>
      <c r="J12" s="28">
        <v>30</v>
      </c>
    </row>
    <row r="13" spans="2:10" x14ac:dyDescent="0.25">
      <c r="B13" s="22" t="s">
        <v>61</v>
      </c>
      <c r="C13" s="22">
        <v>4000</v>
      </c>
      <c r="D13" s="35">
        <v>20</v>
      </c>
      <c r="E13" s="24">
        <f t="shared" si="1"/>
        <v>200</v>
      </c>
      <c r="J13" s="58"/>
    </row>
    <row r="14" spans="2:10" x14ac:dyDescent="0.25">
      <c r="B14" s="22" t="s">
        <v>61</v>
      </c>
      <c r="C14" s="22">
        <v>5000</v>
      </c>
      <c r="D14" s="27">
        <v>8</v>
      </c>
      <c r="E14" s="24">
        <f t="shared" si="1"/>
        <v>625</v>
      </c>
      <c r="I14" s="19" t="s">
        <v>79</v>
      </c>
      <c r="J14" s="19">
        <f>COUNT(J5:J13)</f>
        <v>5</v>
      </c>
    </row>
    <row r="15" spans="2:10" x14ac:dyDescent="0.25">
      <c r="B15" s="22" t="s">
        <v>66</v>
      </c>
      <c r="C15" s="22">
        <v>5800</v>
      </c>
      <c r="D15" s="27">
        <v>10</v>
      </c>
      <c r="E15" s="24">
        <f t="shared" si="1"/>
        <v>580</v>
      </c>
      <c r="I15" s="19" t="s">
        <v>95</v>
      </c>
      <c r="J15" s="19">
        <f>COUNTA(J5:J13)</f>
        <v>8</v>
      </c>
    </row>
    <row r="16" spans="2:10" x14ac:dyDescent="0.25">
      <c r="B16" s="22" t="s">
        <v>69</v>
      </c>
      <c r="C16" s="22">
        <v>1200</v>
      </c>
      <c r="D16" s="35">
        <v>20</v>
      </c>
      <c r="E16" s="27">
        <f t="shared" si="1"/>
        <v>60</v>
      </c>
      <c r="I16" s="19" t="s">
        <v>96</v>
      </c>
      <c r="J16" s="19">
        <f>COUNTBLANK(J5:J13)</f>
        <v>1</v>
      </c>
    </row>
    <row r="17" spans="2:5" x14ac:dyDescent="0.25">
      <c r="B17" s="22" t="s">
        <v>71</v>
      </c>
      <c r="C17" s="22">
        <v>280</v>
      </c>
      <c r="D17" s="27">
        <v>10</v>
      </c>
      <c r="E17" s="27">
        <f t="shared" si="1"/>
        <v>28</v>
      </c>
    </row>
    <row r="18" spans="2:5" x14ac:dyDescent="0.25">
      <c r="B18" s="22" t="s">
        <v>66</v>
      </c>
      <c r="C18" s="22">
        <v>300</v>
      </c>
      <c r="D18" s="27">
        <v>60</v>
      </c>
      <c r="E18" s="27">
        <f t="shared" si="1"/>
        <v>5</v>
      </c>
    </row>
  </sheetData>
  <mergeCells count="1">
    <mergeCell ref="B1:E1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4578-1420-49F4-926D-AE234092C2B0}">
  <dimension ref="F3:O11"/>
  <sheetViews>
    <sheetView workbookViewId="0">
      <selection activeCell="L12" sqref="L12"/>
    </sheetView>
  </sheetViews>
  <sheetFormatPr defaultRowHeight="23.25" x14ac:dyDescent="0.35"/>
  <cols>
    <col min="1" max="5" width="9.140625" style="37"/>
    <col min="6" max="6" width="18.7109375" style="37" bestFit="1" customWidth="1"/>
    <col min="7" max="7" width="16" style="45" bestFit="1" customWidth="1"/>
    <col min="8" max="14" width="9.140625" style="37"/>
    <col min="15" max="15" width="16" style="37" bestFit="1" customWidth="1"/>
    <col min="16" max="16384" width="9.140625" style="37"/>
  </cols>
  <sheetData>
    <row r="3" spans="6:15" x14ac:dyDescent="0.35">
      <c r="G3" s="41">
        <v>1</v>
      </c>
      <c r="K3" s="38">
        <v>10</v>
      </c>
    </row>
    <row r="4" spans="6:15" x14ac:dyDescent="0.35">
      <c r="G4" s="42" t="s">
        <v>85</v>
      </c>
      <c r="K4" s="38">
        <v>20</v>
      </c>
    </row>
    <row r="5" spans="6:15" x14ac:dyDescent="0.35">
      <c r="G5" s="46" t="s">
        <v>86</v>
      </c>
      <c r="K5" s="38">
        <v>20</v>
      </c>
    </row>
    <row r="6" spans="6:15" x14ac:dyDescent="0.35">
      <c r="G6" s="43">
        <v>45164</v>
      </c>
      <c r="K6" s="38">
        <v>20</v>
      </c>
      <c r="O6" s="39">
        <v>45164</v>
      </c>
    </row>
    <row r="7" spans="6:15" x14ac:dyDescent="0.35">
      <c r="G7" s="44">
        <v>0.63124999999999998</v>
      </c>
      <c r="O7" s="40">
        <v>0.63194444444444442</v>
      </c>
    </row>
    <row r="8" spans="6:15" x14ac:dyDescent="0.35">
      <c r="G8" s="47"/>
      <c r="K8" s="37">
        <f>COUNTIF(K3:K6,20)</f>
        <v>3</v>
      </c>
    </row>
    <row r="9" spans="6:15" x14ac:dyDescent="0.35">
      <c r="F9" s="37" t="s">
        <v>79</v>
      </c>
      <c r="G9" s="45">
        <f>COUNT(G3:G8)</f>
        <v>3</v>
      </c>
    </row>
    <row r="10" spans="6:15" x14ac:dyDescent="0.35">
      <c r="F10" s="37" t="s">
        <v>80</v>
      </c>
      <c r="G10" s="45">
        <f>COUNTA(G3:G8)</f>
        <v>5</v>
      </c>
    </row>
    <row r="11" spans="6:15" x14ac:dyDescent="0.35">
      <c r="F11" s="37" t="s">
        <v>81</v>
      </c>
      <c r="G11" s="45">
        <f>COUNTBLANK(G3:G8)</f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E3C5-5934-4BCD-9B2A-7435C637A5D1}">
  <dimension ref="C2:N11"/>
  <sheetViews>
    <sheetView tabSelected="1" workbookViewId="0">
      <selection activeCell="N3" sqref="N3:N11"/>
    </sheetView>
  </sheetViews>
  <sheetFormatPr defaultRowHeight="21" x14ac:dyDescent="0.35"/>
  <cols>
    <col min="1" max="2" width="9.140625" style="36"/>
    <col min="3" max="6" width="9.140625" style="19"/>
    <col min="7" max="16384" width="9.140625" style="36"/>
  </cols>
  <sheetData>
    <row r="2" spans="3:14" x14ac:dyDescent="0.35">
      <c r="C2" s="19" t="s">
        <v>83</v>
      </c>
      <c r="E2" s="19" t="s">
        <v>84</v>
      </c>
      <c r="K2" s="36" t="s">
        <v>82</v>
      </c>
    </row>
    <row r="3" spans="3:14" x14ac:dyDescent="0.35">
      <c r="C3" s="19">
        <v>2917</v>
      </c>
      <c r="E3" s="19">
        <v>1108</v>
      </c>
      <c r="G3" s="36">
        <f>RANK(E3,$E$3:$E$11,0)</f>
        <v>8</v>
      </c>
      <c r="J3" s="19">
        <v>1455</v>
      </c>
      <c r="K3" s="19">
        <f>RANK(J3,$J$3:$J$11,1)</f>
        <v>4</v>
      </c>
      <c r="N3" s="36">
        <f>RANK(J3,$J$3:$J$11,1)</f>
        <v>4</v>
      </c>
    </row>
    <row r="4" spans="3:14" x14ac:dyDescent="0.35">
      <c r="C4" s="19">
        <v>2298</v>
      </c>
      <c r="E4" s="19">
        <v>1220</v>
      </c>
      <c r="G4" s="36">
        <f>RANK(E4,$E$3:$E$11,0)</f>
        <v>6</v>
      </c>
      <c r="J4" s="19">
        <v>1534</v>
      </c>
      <c r="K4" s="19">
        <f t="shared" ref="K4:K11" si="0">RANK(J4,$J$3:$J$11,1)</f>
        <v>5</v>
      </c>
      <c r="N4" s="36">
        <f t="shared" ref="N4:N11" si="1">RANK(J4,$J$3:$J$11,1)</f>
        <v>5</v>
      </c>
    </row>
    <row r="5" spans="3:14" x14ac:dyDescent="0.35">
      <c r="C5" s="19">
        <v>2109</v>
      </c>
      <c r="E5" s="19">
        <v>1150</v>
      </c>
      <c r="G5" s="36">
        <f>RANK(E5,$E$3:$E$11,0)</f>
        <v>7</v>
      </c>
      <c r="J5" s="19">
        <v>1108</v>
      </c>
      <c r="K5" s="19">
        <f t="shared" si="0"/>
        <v>1</v>
      </c>
      <c r="N5" s="36">
        <f t="shared" si="1"/>
        <v>1</v>
      </c>
    </row>
    <row r="6" spans="3:14" x14ac:dyDescent="0.35">
      <c r="C6" s="19">
        <v>2109</v>
      </c>
      <c r="E6" s="13">
        <v>1455</v>
      </c>
      <c r="F6" s="19">
        <v>4</v>
      </c>
      <c r="G6" s="36">
        <f>RANK(E6,$E$3:$E$11,0)</f>
        <v>5</v>
      </c>
      <c r="J6" s="19">
        <v>2109</v>
      </c>
      <c r="K6" s="19">
        <f t="shared" si="0"/>
        <v>6</v>
      </c>
      <c r="N6" s="36">
        <f t="shared" si="1"/>
        <v>6</v>
      </c>
    </row>
    <row r="7" spans="3:14" x14ac:dyDescent="0.35">
      <c r="C7" s="19">
        <v>1534</v>
      </c>
      <c r="E7" s="19">
        <v>1534</v>
      </c>
      <c r="G7" s="36">
        <f>RANK(E7,$E$3:$E$11,0)</f>
        <v>4</v>
      </c>
      <c r="J7" s="19">
        <v>2109</v>
      </c>
      <c r="K7" s="19">
        <f t="shared" si="0"/>
        <v>6</v>
      </c>
      <c r="N7" s="36">
        <f t="shared" si="1"/>
        <v>6</v>
      </c>
    </row>
    <row r="8" spans="3:14" x14ac:dyDescent="0.35">
      <c r="C8" s="13">
        <v>1455</v>
      </c>
      <c r="D8" s="19">
        <v>6</v>
      </c>
      <c r="E8" s="19">
        <v>2109</v>
      </c>
      <c r="G8" s="36">
        <f>RANK(E8,$E$3:$E$11,0)</f>
        <v>3</v>
      </c>
      <c r="J8" s="19">
        <v>2917</v>
      </c>
      <c r="K8" s="19">
        <f t="shared" si="0"/>
        <v>9</v>
      </c>
      <c r="N8" s="36">
        <f t="shared" si="1"/>
        <v>9</v>
      </c>
    </row>
    <row r="9" spans="3:14" x14ac:dyDescent="0.35">
      <c r="C9" s="19">
        <v>1427</v>
      </c>
      <c r="E9" s="19">
        <v>2110</v>
      </c>
      <c r="G9" s="36">
        <f>RANK(E9,$E$3:$E$11,0)</f>
        <v>2</v>
      </c>
      <c r="J9" s="19">
        <v>1427</v>
      </c>
      <c r="K9" s="19">
        <f t="shared" si="0"/>
        <v>3</v>
      </c>
      <c r="N9" s="36">
        <f t="shared" si="1"/>
        <v>3</v>
      </c>
    </row>
    <row r="10" spans="3:14" x14ac:dyDescent="0.35">
      <c r="C10" s="19">
        <v>1220</v>
      </c>
      <c r="E10" s="19">
        <v>2298</v>
      </c>
      <c r="G10" s="36">
        <f>RANK(E10,$E$3:$E$11,0)</f>
        <v>1</v>
      </c>
      <c r="J10" s="19">
        <v>1220</v>
      </c>
      <c r="K10" s="19">
        <f t="shared" si="0"/>
        <v>2</v>
      </c>
      <c r="N10" s="36">
        <f t="shared" si="1"/>
        <v>2</v>
      </c>
    </row>
    <row r="11" spans="3:14" x14ac:dyDescent="0.35">
      <c r="C11" s="19">
        <v>1108</v>
      </c>
      <c r="E11" s="19">
        <v>1000</v>
      </c>
      <c r="G11" s="36">
        <f>RANK(E11,$E$3:$E$11,0)</f>
        <v>9</v>
      </c>
      <c r="J11" s="19">
        <v>2298</v>
      </c>
      <c r="K11" s="19">
        <f t="shared" si="0"/>
        <v>8</v>
      </c>
      <c r="N11" s="36">
        <f t="shared" si="1"/>
        <v>8</v>
      </c>
    </row>
  </sheetData>
  <sortState ref="C2:G11">
    <sortCondition descending="1" ref="C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if</vt:lpstr>
      <vt:lpstr>if-1</vt:lpstr>
      <vt:lpstr>if-2</vt:lpstr>
      <vt:lpstr>Simple 3-Not Equal</vt:lpstr>
      <vt:lpstr>Nested If 1</vt:lpstr>
      <vt:lpstr>IFS</vt:lpstr>
      <vt:lpstr>IF Error</vt:lpstr>
      <vt:lpstr>SUM IF</vt:lpstr>
      <vt:lpstr>COUNT IF</vt:lpstr>
      <vt:lpstr>Sheet1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</cp:lastModifiedBy>
  <cp:lastPrinted>2024-06-12T09:10:42Z</cp:lastPrinted>
  <dcterms:created xsi:type="dcterms:W3CDTF">2012-06-07T11:41:41Z</dcterms:created>
  <dcterms:modified xsi:type="dcterms:W3CDTF">2024-06-12T09:47:19Z</dcterms:modified>
</cp:coreProperties>
</file>