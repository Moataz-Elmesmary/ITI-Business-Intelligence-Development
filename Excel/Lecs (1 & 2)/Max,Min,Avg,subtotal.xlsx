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"/>
    </mc:Choice>
  </mc:AlternateContent>
  <xr:revisionPtr revIDLastSave="0" documentId="13_ncr:1_{9A8D3CA2-4A19-4A3C-A806-19B6809F11A4}" xr6:coauthVersionLast="36" xr6:coauthVersionMax="36" xr10:uidLastSave="{00000000-0000-0000-0000-000000000000}"/>
  <bookViews>
    <workbookView xWindow="0" yWindow="0" windowWidth="20490" windowHeight="7425" xr2:uid="{17C78192-CF38-466A-A3D1-C881E94CD0C4}"/>
  </bookViews>
  <sheets>
    <sheet name="Aggregation -1" sheetId="6" r:id="rId1"/>
    <sheet name="Aggregation -2" sheetId="7" r:id="rId2"/>
  </sheets>
  <definedNames>
    <definedName name="_xlnm._FilterDatabase" localSheetId="0" hidden="1">'Aggregation -1'!$B$3:$H$14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7" l="1"/>
  <c r="L4" i="7" l="1"/>
  <c r="J4" i="7"/>
  <c r="C14" i="7"/>
  <c r="F11" i="6"/>
  <c r="G11" i="6"/>
  <c r="H11" i="6"/>
  <c r="E11" i="6"/>
  <c r="F14" i="6"/>
  <c r="G14" i="6"/>
  <c r="H14" i="6"/>
  <c r="E14" i="6"/>
  <c r="F13" i="6"/>
  <c r="G13" i="6"/>
  <c r="H13" i="6"/>
  <c r="E13" i="6"/>
  <c r="F12" i="6"/>
  <c r="G12" i="6"/>
  <c r="H12" i="6"/>
  <c r="E12" i="6"/>
  <c r="F10" i="6"/>
  <c r="G10" i="6"/>
  <c r="H10" i="6"/>
  <c r="N9" i="6"/>
  <c r="E10" i="6"/>
  <c r="K4" i="7" l="1"/>
  <c r="F4" i="7"/>
</calcChain>
</file>

<file path=xl/sharedStrings.xml><?xml version="1.0" encoding="utf-8"?>
<sst xmlns="http://schemas.openxmlformats.org/spreadsheetml/2006/main" count="72" uniqueCount="58">
  <si>
    <t>Min</t>
  </si>
  <si>
    <t>Max</t>
  </si>
  <si>
    <t>Name</t>
  </si>
  <si>
    <t>May</t>
  </si>
  <si>
    <t>Ahmed</t>
  </si>
  <si>
    <t>Month</t>
  </si>
  <si>
    <t>January</t>
  </si>
  <si>
    <t>Tom</t>
  </si>
  <si>
    <t>February</t>
  </si>
  <si>
    <t>Maria</t>
  </si>
  <si>
    <t>March</t>
  </si>
  <si>
    <t>John</t>
  </si>
  <si>
    <t>April</t>
  </si>
  <si>
    <t>Carter</t>
  </si>
  <si>
    <t>Samara</t>
  </si>
  <si>
    <t>June</t>
  </si>
  <si>
    <t>Hanks</t>
  </si>
  <si>
    <t>Sales Person</t>
  </si>
  <si>
    <t>Q1</t>
  </si>
  <si>
    <t>Q2</t>
  </si>
  <si>
    <t>Q3</t>
  </si>
  <si>
    <t>Q4</t>
  </si>
  <si>
    <t>Region</t>
  </si>
  <si>
    <t>A1</t>
  </si>
  <si>
    <t>A2</t>
  </si>
  <si>
    <t>A3</t>
  </si>
  <si>
    <t>A4</t>
  </si>
  <si>
    <t>A5</t>
  </si>
  <si>
    <t>A6</t>
  </si>
  <si>
    <t>Total</t>
  </si>
  <si>
    <t>AVG</t>
  </si>
  <si>
    <t>Score</t>
  </si>
  <si>
    <t>Eyad</t>
  </si>
  <si>
    <t>ali</t>
  </si>
  <si>
    <t>mahmoud</t>
  </si>
  <si>
    <t>mohamed</t>
  </si>
  <si>
    <t>sayed</t>
  </si>
  <si>
    <t>saleh</t>
  </si>
  <si>
    <t>saber</t>
  </si>
  <si>
    <t>attia</t>
  </si>
  <si>
    <t>ehab</t>
  </si>
  <si>
    <t>sumif</t>
  </si>
  <si>
    <t>sumifs</t>
  </si>
  <si>
    <t>circle</t>
  </si>
  <si>
    <t>triangle</t>
  </si>
  <si>
    <t>Square</t>
  </si>
  <si>
    <t>shape</t>
  </si>
  <si>
    <t>color</t>
  </si>
  <si>
    <t>green</t>
  </si>
  <si>
    <t>red</t>
  </si>
  <si>
    <t>yellow</t>
  </si>
  <si>
    <t>blue</t>
  </si>
  <si>
    <t>Aggregation -1</t>
  </si>
  <si>
    <t>Aggregation -2</t>
  </si>
  <si>
    <t>Score2</t>
  </si>
  <si>
    <t>Criteria</t>
  </si>
  <si>
    <t>Subtotal Jan, April &amp; June</t>
  </si>
  <si>
    <t>sumif &lt;=4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</si>
</sst>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Normal" xfId="0" builtinId="0"/>
    <cellStyle name="Normal 2" xfId="1" xr:uid="{F18DF9AF-090E-4B51-80DD-90AE90C5E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542925</xdr:colOff>
      <xdr:row>0</xdr:row>
      <xdr:rowOff>219075</xdr:rowOff>
    </xdr:from>
    <xdr:ext cx="3185552" cy="78111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055206-8F2A-4F7E-9C0E-E1F5F6D09035}"/>
            </a:ext>
          </a:extLst>
        </xdr:cNvPr>
        <xdr:cNvSpPr txBox="1"/>
      </xdr:nvSpPr>
      <xdr:spPr>
        <a:xfrm>
          <a:off x="8591550" y="219075"/>
          <a:ext cx="3185552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400"/>
            <a:t>=SUM(E4</a:t>
          </a:r>
          <a:r>
            <a:rPr lang="en-US" sz="4400">
              <a:solidFill>
                <a:srgbClr val="FF0000"/>
              </a:solidFill>
            </a:rPr>
            <a:t>:</a:t>
          </a:r>
          <a:r>
            <a:rPr lang="en-US" sz="4400"/>
            <a:t>E9)</a:t>
          </a:r>
        </a:p>
      </xdr:txBody>
    </xdr:sp>
    <xdr:clientData/>
  </xdr:oneCellAnchor>
  <xdr:twoCellAnchor>
    <xdr:from>
      <xdr:col>14</xdr:col>
      <xdr:colOff>161925</xdr:colOff>
      <xdr:row>3</xdr:row>
      <xdr:rowOff>209551</xdr:rowOff>
    </xdr:from>
    <xdr:to>
      <xdr:col>14</xdr:col>
      <xdr:colOff>161925</xdr:colOff>
      <xdr:row>9</xdr:row>
      <xdr:rowOff>209550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4D2AA9A-37F5-4F0E-B2DF-3F5E2955A32E}"/>
            </a:ext>
          </a:extLst>
        </xdr:cNvPr>
        <xdr:cNvCxnSpPr/>
      </xdr:nvCxnSpPr>
      <xdr:spPr>
        <a:xfrm flipV="1">
          <a:off x="11553825" y="1028701"/>
          <a:ext cx="0" cy="177164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6773-0A87-4C8C-A80A-4F92143469C8}">
  <dimension ref="B1:N14"/>
  <sheetViews>
    <sheetView tabSelected="1" workbookViewId="0">
      <selection activeCell="B12" sqref="B12"/>
    </sheetView>
  </sheetViews>
  <sheetFormatPr defaultRowHeight="15" x14ac:dyDescent="0.25"/>
  <cols>
    <col min="2" max="2" width="33.5703125" bestFit="1" customWidth="1"/>
    <col min="3" max="3" width="18.140625" customWidth="1"/>
    <col min="4" max="4" width="15.7109375" bestFit="1" customWidth="1"/>
    <col min="5" max="8" width="9.85546875" bestFit="1" customWidth="1"/>
  </cols>
  <sheetData>
    <row r="1" spans="2:14" ht="26.25" x14ac:dyDescent="0.25">
      <c r="B1" s="22" t="s">
        <v>52</v>
      </c>
      <c r="C1" s="22"/>
      <c r="D1" s="22"/>
      <c r="E1" s="22"/>
      <c r="F1" s="22"/>
      <c r="G1" s="22"/>
      <c r="H1" s="22"/>
    </row>
    <row r="3" spans="2:14" ht="23.25" x14ac:dyDescent="0.25">
      <c r="B3" s="5" t="s">
        <v>5</v>
      </c>
      <c r="C3" s="5" t="s">
        <v>17</v>
      </c>
      <c r="D3" s="5" t="s">
        <v>22</v>
      </c>
      <c r="E3" s="5" t="s">
        <v>18</v>
      </c>
      <c r="F3" s="5" t="s">
        <v>19</v>
      </c>
      <c r="G3" s="5" t="s">
        <v>20</v>
      </c>
      <c r="H3" s="5" t="s">
        <v>21</v>
      </c>
    </row>
    <row r="4" spans="2:14" ht="23.25" x14ac:dyDescent="0.35">
      <c r="B4" s="14" t="s">
        <v>6</v>
      </c>
      <c r="C4" s="1" t="s">
        <v>7</v>
      </c>
      <c r="D4" s="1" t="s">
        <v>23</v>
      </c>
      <c r="E4" s="15">
        <v>350</v>
      </c>
      <c r="F4" s="15">
        <v>644</v>
      </c>
      <c r="G4" s="15">
        <v>421</v>
      </c>
      <c r="H4" s="15">
        <v>789</v>
      </c>
    </row>
    <row r="5" spans="2:14" ht="23.25" x14ac:dyDescent="0.35">
      <c r="B5" s="1" t="s">
        <v>8</v>
      </c>
      <c r="C5" s="1" t="s">
        <v>9</v>
      </c>
      <c r="D5" s="1" t="s">
        <v>24</v>
      </c>
      <c r="E5" s="6">
        <v>210</v>
      </c>
      <c r="F5" s="6">
        <v>355</v>
      </c>
      <c r="G5" s="6">
        <v>625</v>
      </c>
      <c r="H5" s="6">
        <v>654</v>
      </c>
    </row>
    <row r="6" spans="2:14" ht="26.25" x14ac:dyDescent="0.35">
      <c r="B6" s="1" t="s">
        <v>10</v>
      </c>
      <c r="C6" s="1" t="s">
        <v>11</v>
      </c>
      <c r="D6" s="1" t="s">
        <v>25</v>
      </c>
      <c r="E6" s="6">
        <v>300</v>
      </c>
      <c r="F6" s="6">
        <v>850</v>
      </c>
      <c r="G6" s="6">
        <v>364</v>
      </c>
      <c r="H6" s="6">
        <v>123</v>
      </c>
      <c r="N6" s="11">
        <v>10</v>
      </c>
    </row>
    <row r="7" spans="2:14" ht="26.25" x14ac:dyDescent="0.35">
      <c r="B7" s="14" t="s">
        <v>12</v>
      </c>
      <c r="C7" s="1" t="s">
        <v>13</v>
      </c>
      <c r="D7" s="1" t="s">
        <v>26</v>
      </c>
      <c r="E7" s="15">
        <v>150</v>
      </c>
      <c r="F7" s="15">
        <v>240</v>
      </c>
      <c r="G7" s="15">
        <v>258</v>
      </c>
      <c r="H7" s="15">
        <v>456</v>
      </c>
      <c r="K7" s="21"/>
      <c r="N7" s="11">
        <v>30</v>
      </c>
    </row>
    <row r="8" spans="2:14" ht="26.25" x14ac:dyDescent="0.35">
      <c r="B8" s="1" t="s">
        <v>3</v>
      </c>
      <c r="C8" s="1" t="s">
        <v>14</v>
      </c>
      <c r="D8" s="1" t="s">
        <v>27</v>
      </c>
      <c r="E8" s="6">
        <v>350</v>
      </c>
      <c r="F8" s="6">
        <v>170</v>
      </c>
      <c r="G8" s="6">
        <v>899</v>
      </c>
      <c r="H8" s="6">
        <v>740</v>
      </c>
      <c r="N8" s="11">
        <v>4</v>
      </c>
    </row>
    <row r="9" spans="2:14" ht="26.25" x14ac:dyDescent="0.35">
      <c r="B9" s="14" t="s">
        <v>15</v>
      </c>
      <c r="C9" s="1" t="s">
        <v>16</v>
      </c>
      <c r="D9" s="1" t="s">
        <v>28</v>
      </c>
      <c r="E9" s="15">
        <v>452</v>
      </c>
      <c r="F9" s="15">
        <v>854</v>
      </c>
      <c r="G9" s="15">
        <v>753</v>
      </c>
      <c r="H9" s="15">
        <v>365</v>
      </c>
      <c r="N9" s="11">
        <f>SUM(N6:N8)</f>
        <v>44</v>
      </c>
    </row>
    <row r="10" spans="2:14" ht="26.25" x14ac:dyDescent="0.25">
      <c r="B10" s="7" t="s">
        <v>29</v>
      </c>
      <c r="E10" s="12">
        <f>SUM(E4:E9)</f>
        <v>1812</v>
      </c>
      <c r="F10" s="12">
        <f t="shared" ref="F10:H10" si="0">SUM(F4:F9)</f>
        <v>3113</v>
      </c>
      <c r="G10" s="12">
        <f t="shared" si="0"/>
        <v>3320</v>
      </c>
      <c r="H10" s="12">
        <f t="shared" si="0"/>
        <v>3127</v>
      </c>
      <c r="N10" s="11"/>
    </row>
    <row r="11" spans="2:14" ht="21" x14ac:dyDescent="0.25">
      <c r="B11" s="13" t="s">
        <v>56</v>
      </c>
      <c r="E11" s="8">
        <f>SUBTOTAL(9,E4,E7,E9)</f>
        <v>952</v>
      </c>
      <c r="F11" s="8">
        <f t="shared" ref="F11:H11" si="1">SUBTOTAL(9,F4,F7,F9)</f>
        <v>1738</v>
      </c>
      <c r="G11" s="8">
        <f t="shared" si="1"/>
        <v>1432</v>
      </c>
      <c r="H11" s="8">
        <f t="shared" si="1"/>
        <v>1610</v>
      </c>
    </row>
    <row r="12" spans="2:14" ht="23.25" x14ac:dyDescent="0.25">
      <c r="B12" s="7" t="s">
        <v>1</v>
      </c>
      <c r="E12" s="8">
        <f>MAX(E4:E9)</f>
        <v>452</v>
      </c>
      <c r="F12" s="8">
        <f t="shared" ref="F12:H12" si="2">MAX(F4:F9)</f>
        <v>854</v>
      </c>
      <c r="G12" s="8">
        <f t="shared" si="2"/>
        <v>899</v>
      </c>
      <c r="H12" s="8">
        <f t="shared" si="2"/>
        <v>789</v>
      </c>
    </row>
    <row r="13" spans="2:14" ht="23.25" x14ac:dyDescent="0.25">
      <c r="B13" s="7" t="s">
        <v>0</v>
      </c>
      <c r="E13" s="8">
        <f>MIN(E4:E9)</f>
        <v>150</v>
      </c>
      <c r="F13" s="8">
        <f t="shared" ref="F13:H13" si="3">MIN(F4:F9)</f>
        <v>170</v>
      </c>
      <c r="G13" s="8">
        <f t="shared" si="3"/>
        <v>258</v>
      </c>
      <c r="H13" s="8">
        <f t="shared" si="3"/>
        <v>123</v>
      </c>
    </row>
    <row r="14" spans="2:14" ht="23.25" x14ac:dyDescent="0.25">
      <c r="B14" s="7" t="s">
        <v>30</v>
      </c>
      <c r="E14" s="8">
        <f>AVERAGE(E4:E9)</f>
        <v>302</v>
      </c>
      <c r="F14" s="8">
        <f t="shared" ref="F14:H14" si="4">AVERAGE(F4:F9)</f>
        <v>518.83333333333337</v>
      </c>
      <c r="G14" s="8">
        <f t="shared" si="4"/>
        <v>553.33333333333337</v>
      </c>
      <c r="H14" s="8">
        <f t="shared" si="4"/>
        <v>521.16666666666663</v>
      </c>
    </row>
  </sheetData>
  <autoFilter ref="B3:H14" xr:uid="{B63A3A1D-4660-4748-897A-57A19BB4FFCA}"/>
  <mergeCells count="1">
    <mergeCell ref="B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31C1-5AB7-4AA1-8329-C2835614E150}">
  <dimension ref="A1:N15"/>
  <sheetViews>
    <sheetView workbookViewId="0">
      <selection activeCell="J16" sqref="J16"/>
    </sheetView>
  </sheetViews>
  <sheetFormatPr defaultRowHeight="15" x14ac:dyDescent="0.25"/>
  <cols>
    <col min="1" max="1" width="6.5703125" customWidth="1"/>
    <col min="2" max="2" width="14" bestFit="1" customWidth="1"/>
    <col min="3" max="3" width="10.5703125" bestFit="1" customWidth="1"/>
    <col min="4" max="5" width="10.5703125" customWidth="1"/>
    <col min="6" max="6" width="20" customWidth="1"/>
    <col min="7" max="11" width="14.28515625" customWidth="1"/>
    <col min="12" max="12" width="14.5703125" customWidth="1"/>
    <col min="14" max="14" width="10.7109375" bestFit="1" customWidth="1"/>
  </cols>
  <sheetData>
    <row r="1" spans="1:14" ht="26.25" x14ac:dyDescent="0.25">
      <c r="B1" s="22" t="s">
        <v>53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5">
      <c r="B2" s="24">
        <v>1</v>
      </c>
      <c r="C2" s="24">
        <v>2</v>
      </c>
      <c r="D2" s="24">
        <v>3</v>
      </c>
      <c r="E2" s="24">
        <v>4</v>
      </c>
      <c r="F2" s="24">
        <v>5</v>
      </c>
      <c r="G2" s="24">
        <v>6</v>
      </c>
      <c r="H2" s="24">
        <v>7</v>
      </c>
      <c r="I2" s="24">
        <v>8</v>
      </c>
      <c r="J2" s="24">
        <v>9</v>
      </c>
      <c r="K2" s="24">
        <v>10</v>
      </c>
      <c r="L2" s="24"/>
    </row>
    <row r="3" spans="1:14" ht="21" x14ac:dyDescent="0.35">
      <c r="A3" s="9"/>
      <c r="B3" s="8" t="s">
        <v>2</v>
      </c>
      <c r="C3" s="8" t="s">
        <v>31</v>
      </c>
      <c r="D3" s="8" t="s">
        <v>46</v>
      </c>
      <c r="E3" s="8" t="s">
        <v>47</v>
      </c>
      <c r="F3" s="8" t="s">
        <v>57</v>
      </c>
      <c r="G3" s="8" t="s">
        <v>54</v>
      </c>
      <c r="H3" s="8" t="s">
        <v>55</v>
      </c>
      <c r="I3" s="8" t="s">
        <v>41</v>
      </c>
      <c r="J3" s="8"/>
      <c r="K3" s="8" t="s">
        <v>41</v>
      </c>
      <c r="L3" s="23" t="s">
        <v>42</v>
      </c>
    </row>
    <row r="4" spans="1:14" ht="21" x14ac:dyDescent="0.35">
      <c r="A4" s="9">
        <v>1</v>
      </c>
      <c r="B4" s="4" t="s">
        <v>4</v>
      </c>
      <c r="C4" s="16">
        <v>3</v>
      </c>
      <c r="D4" s="20" t="s">
        <v>43</v>
      </c>
      <c r="E4" s="20" t="s">
        <v>49</v>
      </c>
      <c r="F4" s="3">
        <f>SUMIF(C4:C13,"&lt;=4")</f>
        <v>12</v>
      </c>
      <c r="G4" s="3">
        <v>1</v>
      </c>
      <c r="H4" s="3">
        <v>2</v>
      </c>
      <c r="I4" s="3">
        <f>SUMIF(C4:C13,"&gt;20",G4:G13)</f>
        <v>4</v>
      </c>
      <c r="J4" s="3">
        <f>SUMIF(C4:C13,H4,G4:G13)</f>
        <v>13</v>
      </c>
      <c r="K4" s="3">
        <f>SUMIF(E4:E13,E7,C4:C13)</f>
        <v>34</v>
      </c>
      <c r="L4" s="3">
        <f>SUMIFS(G4:G13,D4:D13,"Circle",E4:E13,"Yellow")</f>
        <v>14</v>
      </c>
      <c r="N4" s="2"/>
    </row>
    <row r="5" spans="1:14" ht="21" x14ac:dyDescent="0.35">
      <c r="A5" s="9">
        <v>2</v>
      </c>
      <c r="B5" s="4" t="s">
        <v>32</v>
      </c>
      <c r="C5" s="16">
        <v>1</v>
      </c>
      <c r="D5" s="3" t="s">
        <v>44</v>
      </c>
      <c r="E5" s="3" t="s">
        <v>51</v>
      </c>
      <c r="F5" s="3"/>
      <c r="G5" s="3">
        <v>2</v>
      </c>
      <c r="H5" s="3"/>
      <c r="I5" s="3"/>
      <c r="J5" s="3"/>
      <c r="K5" s="3"/>
      <c r="L5" s="3"/>
      <c r="N5" s="2"/>
    </row>
    <row r="6" spans="1:14" ht="21" x14ac:dyDescent="0.35">
      <c r="A6" s="9">
        <v>3</v>
      </c>
      <c r="B6" s="4" t="s">
        <v>33</v>
      </c>
      <c r="C6" s="18">
        <v>5</v>
      </c>
      <c r="D6" s="20" t="s">
        <v>43</v>
      </c>
      <c r="E6" s="20" t="s">
        <v>49</v>
      </c>
      <c r="F6" s="3"/>
      <c r="G6" s="18">
        <v>3</v>
      </c>
      <c r="H6" s="3"/>
      <c r="I6" s="3"/>
      <c r="J6" s="3"/>
      <c r="K6" s="3"/>
      <c r="L6" s="3"/>
      <c r="N6" s="2"/>
    </row>
    <row r="7" spans="1:14" ht="21" x14ac:dyDescent="0.35">
      <c r="A7" s="9">
        <v>4</v>
      </c>
      <c r="B7" s="4" t="s">
        <v>34</v>
      </c>
      <c r="C7" s="19">
        <v>25</v>
      </c>
      <c r="D7" s="3" t="s">
        <v>43</v>
      </c>
      <c r="E7" s="19" t="s">
        <v>50</v>
      </c>
      <c r="F7" s="3"/>
      <c r="G7" s="3">
        <v>4</v>
      </c>
      <c r="H7" s="3"/>
      <c r="I7" s="3"/>
      <c r="J7" s="3"/>
      <c r="K7" s="3"/>
      <c r="L7" s="3"/>
      <c r="N7" s="2"/>
    </row>
    <row r="8" spans="1:14" ht="21" x14ac:dyDescent="0.35">
      <c r="A8" s="9">
        <v>5</v>
      </c>
      <c r="B8" s="4" t="s">
        <v>35</v>
      </c>
      <c r="C8" s="16">
        <v>2</v>
      </c>
      <c r="D8" s="3" t="s">
        <v>44</v>
      </c>
      <c r="E8" s="3" t="s">
        <v>48</v>
      </c>
      <c r="F8" s="3"/>
      <c r="G8" s="3">
        <v>5</v>
      </c>
      <c r="H8" s="3"/>
      <c r="I8" s="3"/>
      <c r="J8" s="3"/>
      <c r="K8" s="3"/>
      <c r="L8" s="3"/>
      <c r="N8" s="2"/>
    </row>
    <row r="9" spans="1:14" ht="21" x14ac:dyDescent="0.35">
      <c r="A9" s="9">
        <v>6</v>
      </c>
      <c r="B9" s="4" t="s">
        <v>36</v>
      </c>
      <c r="C9" s="3">
        <v>7</v>
      </c>
      <c r="D9" s="3" t="s">
        <v>45</v>
      </c>
      <c r="E9" s="3" t="s">
        <v>49</v>
      </c>
      <c r="F9" s="3"/>
      <c r="G9" s="3">
        <v>6</v>
      </c>
      <c r="H9" s="3"/>
      <c r="I9" s="3"/>
      <c r="J9" s="3"/>
      <c r="K9" s="3"/>
      <c r="L9" s="3"/>
      <c r="N9" s="2"/>
    </row>
    <row r="10" spans="1:14" ht="21" x14ac:dyDescent="0.35">
      <c r="A10" s="9">
        <v>7</v>
      </c>
      <c r="B10" s="4" t="s">
        <v>37</v>
      </c>
      <c r="C10" s="19">
        <v>5</v>
      </c>
      <c r="D10" s="3" t="s">
        <v>44</v>
      </c>
      <c r="E10" s="19" t="s">
        <v>50</v>
      </c>
      <c r="F10" s="3"/>
      <c r="G10" s="18">
        <v>7</v>
      </c>
      <c r="H10" s="3"/>
      <c r="I10" s="3"/>
      <c r="J10" s="3"/>
      <c r="K10" s="3"/>
      <c r="L10" s="3"/>
      <c r="N10" s="2"/>
    </row>
    <row r="11" spans="1:14" ht="21" x14ac:dyDescent="0.35">
      <c r="A11" s="9">
        <v>8</v>
      </c>
      <c r="B11" s="4" t="s">
        <v>38</v>
      </c>
      <c r="C11" s="16">
        <v>2</v>
      </c>
      <c r="D11" s="3" t="s">
        <v>43</v>
      </c>
      <c r="E11" s="3" t="s">
        <v>51</v>
      </c>
      <c r="F11" s="3"/>
      <c r="G11" s="3">
        <v>8</v>
      </c>
      <c r="H11" s="3"/>
      <c r="I11" s="3"/>
      <c r="J11" s="3"/>
      <c r="K11" s="3"/>
      <c r="L11" s="3"/>
      <c r="N11" s="2"/>
    </row>
    <row r="12" spans="1:14" ht="21" x14ac:dyDescent="0.35">
      <c r="A12" s="9">
        <v>9</v>
      </c>
      <c r="B12" s="4" t="s">
        <v>39</v>
      </c>
      <c r="C12" s="18">
        <v>5</v>
      </c>
      <c r="D12" s="3" t="s">
        <v>45</v>
      </c>
      <c r="E12" s="3" t="s">
        <v>48</v>
      </c>
      <c r="F12" s="3"/>
      <c r="G12" s="18">
        <v>9</v>
      </c>
      <c r="H12" s="3"/>
      <c r="I12" s="3"/>
      <c r="J12" s="3"/>
      <c r="K12" s="3"/>
      <c r="L12" s="3"/>
      <c r="N12" s="2"/>
    </row>
    <row r="13" spans="1:14" ht="21" x14ac:dyDescent="0.35">
      <c r="A13" s="9">
        <v>10</v>
      </c>
      <c r="B13" s="4" t="s">
        <v>40</v>
      </c>
      <c r="C13" s="19">
        <v>4</v>
      </c>
      <c r="D13" s="3" t="s">
        <v>43</v>
      </c>
      <c r="E13" s="19" t="s">
        <v>50</v>
      </c>
      <c r="F13" s="3"/>
      <c r="G13" s="3">
        <v>10</v>
      </c>
      <c r="H13" s="3"/>
      <c r="I13" s="3"/>
      <c r="J13" s="3"/>
      <c r="K13" s="3"/>
      <c r="L13" s="3"/>
      <c r="N13" s="2"/>
    </row>
    <row r="14" spans="1:14" ht="21" x14ac:dyDescent="0.3">
      <c r="C14" s="17">
        <f>SUM(C4:C13)</f>
        <v>59</v>
      </c>
      <c r="N14" s="2"/>
    </row>
    <row r="15" spans="1:14" ht="23.25" x14ac:dyDescent="0.35">
      <c r="N15" s="10"/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Aggregation -1</vt:lpstr>
      <vt:lpstr>Aggregation 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Ahmed Ismail</cp:lastModifiedBy>
  <dcterms:created xsi:type="dcterms:W3CDTF">2023-05-15T16:48:59Z</dcterms:created>
  <dcterms:modified xsi:type="dcterms:W3CDTF">2023-09-14T22:50:22Z</dcterms:modified>
</cp:coreProperties>
</file>