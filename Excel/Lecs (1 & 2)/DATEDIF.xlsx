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ewHDD\Data Analysis using Excel-Ahmed Ismail\ITI Tasks\Functions Files\Day1\"/>
    </mc:Choice>
  </mc:AlternateContent>
  <xr:revisionPtr revIDLastSave="0" documentId="13_ncr:1_{371FAC0C-F067-4BFE-ADAC-6631FE9F4706}" xr6:coauthVersionLast="36" xr6:coauthVersionMax="36" xr10:uidLastSave="{00000000-0000-0000-0000-000000000000}"/>
  <bookViews>
    <workbookView xWindow="0" yWindow="0" windowWidth="16815" windowHeight="7350" xr2:uid="{00000000-000D-0000-FFFF-FFFF00000000}"/>
  </bookViews>
  <sheets>
    <sheet name="DATEDIF" sheetId="5" r:id="rId1"/>
    <sheet name="Age in Years" sheetId="1" r:id="rId2"/>
    <sheet name="Age in Years, Months and Days" sheetId="2" r:id="rId3"/>
    <sheet name="Age in Years, Months and Da (2)" sheetId="3" r:id="rId4"/>
    <sheet name="Age in Years (2)" sheetId="4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5" l="1"/>
  <c r="F17" i="5" s="1"/>
  <c r="F4" i="5"/>
  <c r="I4" i="5" s="1"/>
  <c r="F15" i="5" l="1"/>
  <c r="F13" i="5"/>
  <c r="F14" i="5"/>
  <c r="F9" i="5"/>
  <c r="I6" i="5"/>
  <c r="I5" i="5"/>
  <c r="C6" i="4"/>
  <c r="C5" i="4"/>
  <c r="C4" i="4"/>
  <c r="F4" i="4"/>
  <c r="F6" i="4"/>
  <c r="F5" i="4"/>
  <c r="L6" i="4"/>
  <c r="L5" i="4"/>
  <c r="B2" i="4"/>
  <c r="B4" i="3"/>
  <c r="C4" i="3" s="1"/>
  <c r="B3" i="3"/>
  <c r="C3" i="3" s="1"/>
  <c r="B2" i="3"/>
  <c r="D4" i="3" s="1"/>
  <c r="L3" i="4" l="1"/>
  <c r="L4" i="4"/>
  <c r="C2" i="4"/>
  <c r="C2" i="3"/>
  <c r="D3" i="3"/>
  <c r="D2" i="3"/>
  <c r="L6" i="1"/>
  <c r="L5" i="1"/>
  <c r="C6" i="1"/>
  <c r="C5" i="1"/>
  <c r="B3" i="2" l="1"/>
  <c r="C3" i="2" s="1"/>
  <c r="B4" i="2"/>
  <c r="C4" i="2" s="1"/>
  <c r="B2" i="1" l="1"/>
  <c r="L4" i="1" l="1"/>
  <c r="L3" i="1"/>
  <c r="C2" i="1"/>
  <c r="C4" i="1"/>
  <c r="B6" i="1" l="1"/>
  <c r="B5" i="1" l="1"/>
  <c r="B2" i="2"/>
  <c r="D4" i="2" s="1"/>
  <c r="D3" i="2" l="1"/>
  <c r="C2" i="2"/>
  <c r="D2" i="2"/>
</calcChain>
</file>

<file path=xl/sharedStrings.xml><?xml version="1.0" encoding="utf-8"?>
<sst xmlns="http://schemas.openxmlformats.org/spreadsheetml/2006/main" count="36" uniqueCount="23">
  <si>
    <t>Today</t>
  </si>
  <si>
    <t>Age</t>
  </si>
  <si>
    <t>تاريخ الميلاد</t>
  </si>
  <si>
    <t>بالسنوات</t>
  </si>
  <si>
    <t>بالسنة</t>
  </si>
  <si>
    <t>بالشهور</t>
  </si>
  <si>
    <t>بالايام</t>
  </si>
  <si>
    <t>تاريخ اليوم</t>
  </si>
  <si>
    <t>العمر</t>
  </si>
  <si>
    <t>25/3/1990</t>
  </si>
  <si>
    <t>Birth Date</t>
  </si>
  <si>
    <t>By Months</t>
  </si>
  <si>
    <t>By Days</t>
  </si>
  <si>
    <t>By Years</t>
  </si>
  <si>
    <t>Dynamic</t>
  </si>
  <si>
    <t>M</t>
  </si>
  <si>
    <t>D</t>
  </si>
  <si>
    <t>Y</t>
  </si>
  <si>
    <t>MM/DD/YYYY</t>
  </si>
  <si>
    <t>DAY</t>
  </si>
  <si>
    <t>Syntax</t>
  </si>
  <si>
    <t>DATEDIF</t>
  </si>
  <si>
    <r>
      <t>DATEDIF</t>
    </r>
    <r>
      <rPr>
        <sz val="18"/>
        <color theme="1"/>
        <rFont val="Calibri"/>
        <family val="2"/>
        <scheme val="minor"/>
      </rPr>
      <t>(</t>
    </r>
    <r>
      <rPr>
        <b/>
        <sz val="18"/>
        <color theme="1"/>
        <rFont val="Calibri"/>
        <family val="2"/>
        <scheme val="minor"/>
      </rPr>
      <t>start_date</t>
    </r>
    <r>
      <rPr>
        <sz val="18"/>
        <color theme="1"/>
        <rFont val="Calibri"/>
        <family val="2"/>
        <scheme val="minor"/>
      </rPr>
      <t>,</t>
    </r>
    <r>
      <rPr>
        <b/>
        <sz val="18"/>
        <color theme="1"/>
        <rFont val="Calibri"/>
        <family val="2"/>
        <scheme val="minor"/>
      </rPr>
      <t>end_date</t>
    </r>
    <r>
      <rPr>
        <sz val="18"/>
        <color theme="1"/>
        <rFont val="Calibri"/>
        <family val="2"/>
        <scheme val="minor"/>
      </rPr>
      <t>,</t>
    </r>
    <r>
      <rPr>
        <b/>
        <sz val="18"/>
        <color theme="1"/>
        <rFont val="Calibri"/>
        <family val="2"/>
        <scheme val="minor"/>
      </rPr>
      <t>unit</t>
    </r>
    <r>
      <rPr>
        <sz val="18"/>
        <color theme="1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</si>
</sst>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36"/>
      <color rgb="FFFF0000"/>
      <name val="Calibri"/>
      <family val="2"/>
      <scheme val="minor"/>
    </font>
    <font>
      <sz val="20"/>
      <color rgb="FFFF000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1" fontId="2" fillId="0" borderId="0" xfId="0" applyNumberFormat="1" applyFont="1"/>
    <xf numFmtId="0" fontId="7" fillId="0" borderId="0" xfId="0" applyFont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0" borderId="0" xfId="0" applyFont="1"/>
    <xf numFmtId="14" fontId="4" fillId="0" borderId="0" xfId="0" applyNumberFormat="1" applyFont="1"/>
    <xf numFmtId="0" fontId="4" fillId="2" borderId="0" xfId="0" applyFont="1" applyFill="1"/>
    <xf numFmtId="14" fontId="4" fillId="2" borderId="0" xfId="0" applyNumberFormat="1" applyFont="1" applyFill="1"/>
    <xf numFmtId="14" fontId="4" fillId="3" borderId="0" xfId="0" applyNumberFormat="1" applyFont="1" applyFill="1"/>
    <xf numFmtId="0" fontId="4" fillId="2" borderId="0" xfId="0" applyNumberFormat="1" applyFont="1" applyFill="1"/>
    <xf numFmtId="0" fontId="10" fillId="0" borderId="0" xfId="0" applyFont="1" applyAlignment="1">
      <alignment vertical="center"/>
    </xf>
    <xf numFmtId="0" fontId="4" fillId="3" borderId="0" xfId="0" applyFont="1" applyFill="1"/>
    <xf numFmtId="0" fontId="4" fillId="4" borderId="0" xfId="0" applyFont="1" applyFill="1"/>
    <xf numFmtId="0" fontId="4" fillId="0" borderId="0" xfId="0" applyFont="1" applyAlignment="1">
      <alignment horizontal="center"/>
    </xf>
    <xf numFmtId="0" fontId="10" fillId="0" borderId="0" xfId="0" applyFont="1"/>
    <xf numFmtId="0" fontId="11" fillId="0" borderId="0" xfId="0" applyFont="1"/>
    <xf numFmtId="0" fontId="12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112058</xdr:colOff>
      <xdr:row>3</xdr:row>
      <xdr:rowOff>112057</xdr:rowOff>
    </xdr:from>
    <xdr:ext cx="3193677" cy="40543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C0436D7-CE27-4797-8F5C-256A1C7DC0FF}"/>
            </a:ext>
          </a:extLst>
        </xdr:cNvPr>
        <xdr:cNvSpPr txBox="1"/>
      </xdr:nvSpPr>
      <xdr:spPr>
        <a:xfrm>
          <a:off x="9222440" y="1893792"/>
          <a:ext cx="3193677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000"/>
            <a:t>=DATEDIF(A2,TODAY(),"y")</a:t>
          </a:r>
        </a:p>
      </xdr:txBody>
    </xdr:sp>
    <xdr:clientData/>
  </xdr:oneCellAnchor>
  <xdr:oneCellAnchor>
    <xdr:from>
      <xdr:col>6</xdr:col>
      <xdr:colOff>129988</xdr:colOff>
      <xdr:row>4</xdr:row>
      <xdr:rowOff>40339</xdr:rowOff>
    </xdr:from>
    <xdr:ext cx="3377453" cy="405432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6CC85A0-6C7F-45B2-B028-34F67DE940A8}"/>
            </a:ext>
          </a:extLst>
        </xdr:cNvPr>
        <xdr:cNvSpPr txBox="1"/>
      </xdr:nvSpPr>
      <xdr:spPr>
        <a:xfrm>
          <a:off x="9240370" y="2415986"/>
          <a:ext cx="3377453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000"/>
            <a:t>=DATEDIF($A$2,TODAY(),"m")</a:t>
          </a:r>
        </a:p>
      </xdr:txBody>
    </xdr:sp>
    <xdr:clientData/>
  </xdr:oneCellAnchor>
  <xdr:oneCellAnchor>
    <xdr:from>
      <xdr:col>6</xdr:col>
      <xdr:colOff>147917</xdr:colOff>
      <xdr:row>5</xdr:row>
      <xdr:rowOff>103092</xdr:rowOff>
    </xdr:from>
    <xdr:ext cx="3527613" cy="405432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663258C-D3C7-4524-B2C0-D8EDA3CA6605}"/>
            </a:ext>
          </a:extLst>
        </xdr:cNvPr>
        <xdr:cNvSpPr txBox="1"/>
      </xdr:nvSpPr>
      <xdr:spPr>
        <a:xfrm>
          <a:off x="9258299" y="3072651"/>
          <a:ext cx="3527613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000"/>
            <a:t>=DATEDIF($A$2,TODAY(),"D")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A2291-7DD4-4A8A-A6EB-E7C863C3B748}">
  <dimension ref="A2:K17"/>
  <sheetViews>
    <sheetView tabSelected="1" topLeftCell="A10" workbookViewId="0">
      <selection activeCell="C17" sqref="C17"/>
    </sheetView>
  </sheetViews>
  <sheetFormatPr defaultRowHeight="26.25" x14ac:dyDescent="0.4"/>
  <cols>
    <col min="1" max="1" width="18.7109375" style="17" bestFit="1" customWidth="1"/>
    <col min="2" max="2" width="24" style="17" customWidth="1"/>
    <col min="3" max="5" width="9.140625" style="17"/>
    <col min="6" max="6" width="26.85546875" style="17" bestFit="1" customWidth="1"/>
    <col min="7" max="8" width="9.140625" style="17"/>
    <col min="9" max="9" width="10.5703125" style="17" customWidth="1"/>
    <col min="10" max="10" width="18.7109375" style="17" bestFit="1" customWidth="1"/>
    <col min="11" max="16384" width="9.140625" style="17"/>
  </cols>
  <sheetData>
    <row r="2" spans="1:11" x14ac:dyDescent="0.4">
      <c r="F2" s="17" t="s">
        <v>14</v>
      </c>
    </row>
    <row r="3" spans="1:11" x14ac:dyDescent="0.4">
      <c r="J3" s="18"/>
    </row>
    <row r="4" spans="1:11" x14ac:dyDescent="0.4">
      <c r="F4" s="20">
        <f ca="1">TODAY()</f>
        <v>45540</v>
      </c>
      <c r="H4" s="17" t="s">
        <v>15</v>
      </c>
      <c r="I4" s="17">
        <f ca="1">MONTH(F4)</f>
        <v>9</v>
      </c>
      <c r="J4" s="19">
        <v>3</v>
      </c>
    </row>
    <row r="5" spans="1:11" x14ac:dyDescent="0.4">
      <c r="F5" s="17" t="s">
        <v>18</v>
      </c>
      <c r="H5" s="17" t="s">
        <v>16</v>
      </c>
      <c r="I5" s="17">
        <f ca="1">DAY(F4)</f>
        <v>5</v>
      </c>
      <c r="J5" s="22">
        <v>10</v>
      </c>
    </row>
    <row r="6" spans="1:11" x14ac:dyDescent="0.4">
      <c r="F6" s="18"/>
      <c r="H6" s="17" t="s">
        <v>17</v>
      </c>
      <c r="I6" s="17">
        <f ca="1">YEAR(F4)</f>
        <v>2024</v>
      </c>
      <c r="J6" s="19">
        <v>4</v>
      </c>
    </row>
    <row r="7" spans="1:11" x14ac:dyDescent="0.4">
      <c r="F7" s="18"/>
    </row>
    <row r="8" spans="1:11" x14ac:dyDescent="0.4">
      <c r="F8" s="18"/>
    </row>
    <row r="9" spans="1:11" x14ac:dyDescent="0.4">
      <c r="F9" s="21">
        <f ca="1">DATE(YEAR(F4)+J6,MONTH(F4)+J4,DAY(F4)+J5)</f>
        <v>47102</v>
      </c>
      <c r="J9" s="21"/>
    </row>
    <row r="10" spans="1:11" x14ac:dyDescent="0.4">
      <c r="A10" s="29" t="s">
        <v>21</v>
      </c>
      <c r="B10" s="29"/>
      <c r="C10" s="29"/>
      <c r="D10" s="29"/>
      <c r="E10" s="29"/>
      <c r="F10" s="18"/>
    </row>
    <row r="11" spans="1:11" x14ac:dyDescent="0.4">
      <c r="A11" s="26"/>
      <c r="B11" s="26"/>
      <c r="C11" s="26"/>
      <c r="D11" s="26"/>
      <c r="E11" s="26"/>
      <c r="F11" s="18"/>
    </row>
    <row r="12" spans="1:11" x14ac:dyDescent="0.4">
      <c r="A12" s="18">
        <v>44077</v>
      </c>
      <c r="B12" s="18">
        <f ca="1">TODAY()</f>
        <v>45540</v>
      </c>
      <c r="H12" s="23" t="s">
        <v>20</v>
      </c>
    </row>
    <row r="13" spans="1:11" x14ac:dyDescent="0.4">
      <c r="E13" s="17" t="s">
        <v>19</v>
      </c>
      <c r="F13" s="17">
        <f ca="1">DATEDIF(A12,B12,"D")</f>
        <v>1463</v>
      </c>
      <c r="H13"/>
    </row>
    <row r="14" spans="1:11" x14ac:dyDescent="0.4">
      <c r="E14" s="17" t="s">
        <v>15</v>
      </c>
      <c r="F14" s="17">
        <f ca="1">DATEDIF(A12,B12,"M")</f>
        <v>48</v>
      </c>
      <c r="H14" s="27" t="s">
        <v>22</v>
      </c>
      <c r="I14" s="28"/>
      <c r="J14" s="28"/>
      <c r="K14" s="28"/>
    </row>
    <row r="15" spans="1:11" x14ac:dyDescent="0.4">
      <c r="E15" s="17" t="s">
        <v>17</v>
      </c>
      <c r="F15" s="17">
        <f ca="1">DATEDIF(A12,B12,"y")</f>
        <v>4</v>
      </c>
    </row>
    <row r="17" spans="5:6" x14ac:dyDescent="0.4">
      <c r="E17" s="24" t="s">
        <v>17</v>
      </c>
      <c r="F17" s="25">
        <f ca="1">DATEDIF(A12,B12,E17)</f>
        <v>4</v>
      </c>
    </row>
  </sheetData>
  <mergeCells count="1">
    <mergeCell ref="A10:E10"/>
  </mergeCells>
  <dataValidations count="1">
    <dataValidation type="list" allowBlank="1" showInputMessage="1" showErrorMessage="1" sqref="E17" xr:uid="{297156EE-3328-410E-9C41-BB269D8A0FAD}">
      <formula1>"D,M,Y"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zoomScale="85" zoomScaleNormal="85" workbookViewId="0">
      <selection activeCell="G5" sqref="G5"/>
    </sheetView>
  </sheetViews>
  <sheetFormatPr defaultRowHeight="46.5" x14ac:dyDescent="0.7"/>
  <cols>
    <col min="1" max="1" width="39.85546875" style="1" bestFit="1" customWidth="1"/>
    <col min="2" max="2" width="35.85546875" style="1" bestFit="1" customWidth="1"/>
    <col min="3" max="3" width="19.5703125" style="1" bestFit="1" customWidth="1"/>
    <col min="4" max="4" width="15" style="1" customWidth="1"/>
    <col min="5" max="5" width="9.28515625" style="1" customWidth="1"/>
    <col min="6" max="11" width="9.140625" style="1"/>
    <col min="12" max="12" width="51.5703125" style="1" bestFit="1" customWidth="1"/>
    <col min="13" max="16384" width="9.140625" style="1"/>
  </cols>
  <sheetData>
    <row r="1" spans="1:12" x14ac:dyDescent="0.7">
      <c r="A1" s="3" t="s">
        <v>2</v>
      </c>
      <c r="B1" s="3" t="s">
        <v>0</v>
      </c>
      <c r="C1" s="3" t="s">
        <v>1</v>
      </c>
    </row>
    <row r="2" spans="1:12" x14ac:dyDescent="0.7">
      <c r="A2" s="4">
        <v>44562</v>
      </c>
      <c r="B2" s="4">
        <f ca="1">TODAY()</f>
        <v>45540</v>
      </c>
      <c r="C2" s="5">
        <f ca="1">DATEDIF(A2,B2,"y")</f>
        <v>2</v>
      </c>
      <c r="D2" s="1" t="s">
        <v>3</v>
      </c>
    </row>
    <row r="3" spans="1:12" x14ac:dyDescent="0.7">
      <c r="L3" s="12">
        <f ca="1">YEARFRAC(A2,B2)</f>
        <v>2.6777777777777776</v>
      </c>
    </row>
    <row r="4" spans="1:12" x14ac:dyDescent="0.7">
      <c r="C4" s="9">
        <f ca="1">DATEDIF(A2,TODAY(),"y")</f>
        <v>2</v>
      </c>
      <c r="D4" s="9" t="s">
        <v>4</v>
      </c>
      <c r="E4" s="9"/>
      <c r="L4" s="1">
        <f ca="1">DATEDIF(A2,B2,"y")</f>
        <v>2</v>
      </c>
    </row>
    <row r="5" spans="1:12" x14ac:dyDescent="0.7">
      <c r="B5" s="2">
        <f ca="1">DATEDIF($A$2,$B$2,"y")</f>
        <v>2</v>
      </c>
      <c r="C5" s="9">
        <f ca="1">DATEDIF($A$2,TODAY(),"m")</f>
        <v>32</v>
      </c>
      <c r="D5" s="9" t="s">
        <v>5</v>
      </c>
      <c r="E5" s="9"/>
      <c r="L5" s="1">
        <f ca="1">DATEDIF(A2,TODAY(),"m")</f>
        <v>32</v>
      </c>
    </row>
    <row r="6" spans="1:12" x14ac:dyDescent="0.7">
      <c r="B6" s="2">
        <f ca="1">DATEDIF($A$2,$B$2,"m")</f>
        <v>32</v>
      </c>
      <c r="C6" s="9">
        <f ca="1">DATEDIF($A$2,TODAY(),"D")</f>
        <v>978</v>
      </c>
      <c r="D6" s="9" t="s">
        <v>6</v>
      </c>
      <c r="E6" s="9"/>
      <c r="L6" s="1">
        <f ca="1">DATEDIF(A2,TODAY(),"d")</f>
        <v>978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rightToLeft="1" zoomScale="85" zoomScaleNormal="85" workbookViewId="0">
      <selection activeCell="C6" sqref="C6"/>
    </sheetView>
  </sheetViews>
  <sheetFormatPr defaultColWidth="28" defaultRowHeight="26.25" x14ac:dyDescent="0.25"/>
  <cols>
    <col min="1" max="16384" width="28" style="7"/>
  </cols>
  <sheetData>
    <row r="1" spans="1:4" x14ac:dyDescent="0.25">
      <c r="A1" s="6" t="s">
        <v>2</v>
      </c>
      <c r="B1" s="6" t="s">
        <v>7</v>
      </c>
      <c r="C1" s="6" t="s">
        <v>8</v>
      </c>
    </row>
    <row r="2" spans="1:4" x14ac:dyDescent="0.25">
      <c r="A2" s="8">
        <v>29332</v>
      </c>
      <c r="B2" s="8">
        <f ca="1">TODAY()</f>
        <v>45540</v>
      </c>
      <c r="C2" s="7" t="str">
        <f ca="1">DATEDIF(A2,B2,"y") &amp; "y " &amp; DATEDIF(A2,B2,"ym") &amp; "m " &amp; DATEDIF(A2,B2,"md") &amp; "d"</f>
        <v>44y 4m 15d</v>
      </c>
      <c r="D2" s="7">
        <f ca="1">DATEDIF(A2,B2,"y")</f>
        <v>44</v>
      </c>
    </row>
    <row r="3" spans="1:4" x14ac:dyDescent="0.25">
      <c r="A3" s="8">
        <v>32957</v>
      </c>
      <c r="B3" s="8">
        <f ca="1">TODAY()</f>
        <v>45540</v>
      </c>
      <c r="C3" s="7" t="str">
        <f ca="1">DATEDIF(A3,B3,"y") &amp; "y " &amp; DATEDIF(A3,B3,"ym") &amp; "m " &amp; DATEDIF(A3,B3,"md") &amp; "d"</f>
        <v>34y 5m 11d</v>
      </c>
      <c r="D3" s="7">
        <f ca="1">DATEDIF(A2,B2,"M")</f>
        <v>532</v>
      </c>
    </row>
    <row r="4" spans="1:4" x14ac:dyDescent="0.25">
      <c r="A4" s="10" t="s">
        <v>9</v>
      </c>
      <c r="B4" s="11">
        <f ca="1">TODAY()</f>
        <v>45540</v>
      </c>
      <c r="C4" s="10" t="e">
        <f ca="1">DATEDIF(A4,B4,"y") &amp; "y " &amp; DATEDIF(A4,B4,"ym") &amp; "m " &amp; DATEDIF(A4,B4,"md") &amp; "d"</f>
        <v>#VALUE!</v>
      </c>
      <c r="D4" s="7">
        <f ca="1">DATEDIF(A2,B2,"D")</f>
        <v>16208</v>
      </c>
    </row>
    <row r="5" spans="1:4" x14ac:dyDescent="0.25">
      <c r="A5" s="11"/>
      <c r="B5" s="11"/>
      <c r="C5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59286-4748-40D2-8E73-EC6ED9167063}">
  <dimension ref="A1:D5"/>
  <sheetViews>
    <sheetView rightToLeft="1" zoomScale="85" zoomScaleNormal="85" workbookViewId="0">
      <selection activeCell="C6" sqref="C6"/>
    </sheetView>
  </sheetViews>
  <sheetFormatPr defaultColWidth="28" defaultRowHeight="26.25" x14ac:dyDescent="0.25"/>
  <cols>
    <col min="1" max="16384" width="28" style="7"/>
  </cols>
  <sheetData>
    <row r="1" spans="1:4" x14ac:dyDescent="0.25">
      <c r="A1" s="6" t="s">
        <v>2</v>
      </c>
      <c r="B1" s="6" t="s">
        <v>7</v>
      </c>
      <c r="C1" s="6" t="s">
        <v>8</v>
      </c>
    </row>
    <row r="2" spans="1:4" x14ac:dyDescent="0.25">
      <c r="A2" s="8">
        <v>29332</v>
      </c>
      <c r="B2" s="8">
        <f ca="1">TODAY()</f>
        <v>45540</v>
      </c>
      <c r="C2" s="7" t="str">
        <f ca="1">DATEDIF(A2,B2,"y") &amp; "y " &amp; DATEDIF(A2,B2,"ym") &amp; "m " &amp; DATEDIF(A2,B2,"md") &amp; "d"</f>
        <v>44y 4m 15d</v>
      </c>
      <c r="D2" s="7">
        <f ca="1">DATEDIF(A2,B2,"y")</f>
        <v>44</v>
      </c>
    </row>
    <row r="3" spans="1:4" x14ac:dyDescent="0.25">
      <c r="A3" s="8">
        <v>32957</v>
      </c>
      <c r="B3" s="8">
        <f ca="1">TODAY()</f>
        <v>45540</v>
      </c>
      <c r="C3" s="7" t="str">
        <f ca="1">DATEDIF(A3,B3,"y") &amp; "y " &amp; DATEDIF(A3,B3,"ym") &amp; "m " &amp; DATEDIF(A3,B3,"md") &amp; "d"</f>
        <v>34y 5m 11d</v>
      </c>
      <c r="D3" s="7">
        <f ca="1">DATEDIF(A2,B2,"M")</f>
        <v>532</v>
      </c>
    </row>
    <row r="4" spans="1:4" x14ac:dyDescent="0.25">
      <c r="A4" s="10" t="s">
        <v>9</v>
      </c>
      <c r="B4" s="11">
        <f ca="1">TODAY()</f>
        <v>45540</v>
      </c>
      <c r="C4" s="10" t="e">
        <f ca="1">DATEDIF(A4,B4,"y") &amp; "y " &amp; DATEDIF(A4,B4,"ym") &amp; "m " &amp; DATEDIF(A4,B4,"md") &amp; "d"</f>
        <v>#VALUE!</v>
      </c>
      <c r="D4" s="7">
        <f ca="1">DATEDIF(A2,B2,"D")</f>
        <v>16208</v>
      </c>
    </row>
    <row r="5" spans="1:4" x14ac:dyDescent="0.25">
      <c r="A5" s="11"/>
      <c r="B5" s="11"/>
      <c r="C5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24A16-F3A4-4FA4-97BB-0B825C1ED966}">
  <dimension ref="A1:L7"/>
  <sheetViews>
    <sheetView zoomScale="85" zoomScaleNormal="85" workbookViewId="0">
      <selection activeCell="B3" sqref="B3"/>
    </sheetView>
  </sheetViews>
  <sheetFormatPr defaultRowHeight="46.5" x14ac:dyDescent="0.7"/>
  <cols>
    <col min="1" max="1" width="20.140625" style="1" bestFit="1" customWidth="1"/>
    <col min="2" max="2" width="20.85546875" style="1" bestFit="1" customWidth="1"/>
    <col min="3" max="3" width="13.140625" style="1" bestFit="1" customWidth="1"/>
    <col min="4" max="4" width="49.28515625" style="1" customWidth="1"/>
    <col min="5" max="5" width="21" style="1" bestFit="1" customWidth="1"/>
    <col min="6" max="6" width="12.28515625" style="1" customWidth="1"/>
    <col min="7" max="7" width="55.7109375" style="1" customWidth="1"/>
    <col min="8" max="11" width="9.140625" style="1"/>
    <col min="12" max="12" width="51.5703125" style="1" bestFit="1" customWidth="1"/>
    <col min="13" max="16384" width="9.140625" style="1"/>
  </cols>
  <sheetData>
    <row r="1" spans="1:12" x14ac:dyDescent="0.7">
      <c r="A1" s="13" t="s">
        <v>10</v>
      </c>
      <c r="B1" s="13" t="s">
        <v>0</v>
      </c>
      <c r="C1" s="13" t="s">
        <v>1</v>
      </c>
    </row>
    <row r="2" spans="1:12" x14ac:dyDescent="0.7">
      <c r="A2" s="14">
        <v>44562</v>
      </c>
      <c r="B2" s="14">
        <f ca="1">TODAY()</f>
        <v>45540</v>
      </c>
      <c r="C2" s="15">
        <f ca="1">DATEDIF(A2,B2,"y")</f>
        <v>2</v>
      </c>
    </row>
    <row r="3" spans="1:12" x14ac:dyDescent="0.7">
      <c r="L3" s="12">
        <f ca="1">YEARFRAC(A2,B2)</f>
        <v>2.6777777777777776</v>
      </c>
    </row>
    <row r="4" spans="1:12" x14ac:dyDescent="0.7">
      <c r="B4" s="13" t="s">
        <v>13</v>
      </c>
      <c r="C4" s="16">
        <f ca="1">DATEDIF(A2,TODAY(),"y")</f>
        <v>2</v>
      </c>
      <c r="D4" s="9"/>
      <c r="E4" s="13" t="s">
        <v>13</v>
      </c>
      <c r="F4" s="16">
        <f ca="1">DATEDIF(A2,TODAY(),"y")</f>
        <v>2</v>
      </c>
      <c r="L4" s="1">
        <f ca="1">DATEDIF(A2,B2,"y")</f>
        <v>2</v>
      </c>
    </row>
    <row r="5" spans="1:12" x14ac:dyDescent="0.7">
      <c r="B5" s="13" t="s">
        <v>11</v>
      </c>
      <c r="C5" s="16">
        <f ca="1">DATEDIF($A$2,TODAY(),"m")</f>
        <v>32</v>
      </c>
      <c r="D5" s="9"/>
      <c r="E5" s="13" t="s">
        <v>11</v>
      </c>
      <c r="F5" s="16">
        <f ca="1">DATEDIF($A$2,TODAY(),"m")</f>
        <v>32</v>
      </c>
      <c r="L5" s="1">
        <f ca="1">DATEDIF(A2,TODAY(),"m")</f>
        <v>32</v>
      </c>
    </row>
    <row r="6" spans="1:12" x14ac:dyDescent="0.7">
      <c r="B6" s="13" t="s">
        <v>12</v>
      </c>
      <c r="C6" s="16">
        <f ca="1">DATEDIF($A$2,TODAY(),"D")</f>
        <v>978</v>
      </c>
      <c r="D6" s="9"/>
      <c r="E6" s="13" t="s">
        <v>12</v>
      </c>
      <c r="F6" s="16">
        <f ca="1">DATEDIF($A$2,TODAY(),"D")</f>
        <v>978</v>
      </c>
      <c r="L6" s="1">
        <f ca="1">DATEDIF(A2,TODAY(),"d")</f>
        <v>978</v>
      </c>
    </row>
    <row r="7" spans="1:12" x14ac:dyDescent="0.7">
      <c r="B7" s="13"/>
    </row>
  </sheetData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DATEDIF</vt:lpstr>
      <vt:lpstr>Age in Years</vt:lpstr>
      <vt:lpstr>Age in Years, Months and Days</vt:lpstr>
      <vt:lpstr>Age in Years, Months and Da (2)</vt:lpstr>
      <vt:lpstr>Age in Years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Ahmed Ismai</cp:lastModifiedBy>
  <dcterms:created xsi:type="dcterms:W3CDTF">2018-10-18T09:01:20Z</dcterms:created>
  <dcterms:modified xsi:type="dcterms:W3CDTF">2024-09-05T10:25:51Z</dcterms:modified>
</cp:coreProperties>
</file>